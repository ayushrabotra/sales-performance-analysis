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aw Data" sheetId="2" r:id="rId6"/>
    <sheet state="visible" name="Cleaned Data" sheetId="3" r:id="rId7"/>
    <sheet state="visible" name="Analysis" sheetId="4" r:id="rId8"/>
    <sheet state="visible" name="Profit Margin Analysis" sheetId="5" r:id="rId9"/>
    <sheet state="visible" name="Discount Analysis" sheetId="6" r:id="rId10"/>
    <sheet state="visible" name="Pivot Table 1 Product" sheetId="7" r:id="rId11"/>
    <sheet state="visible" name="Pivot Table 2 Category" sheetId="8" r:id="rId12"/>
    <sheet state="visible" name="Pivot Table 3 Region" sheetId="9" r:id="rId13"/>
    <sheet state="visible" name="Pivot Table 4 Profit" sheetId="10" r:id="rId14"/>
    <sheet state="visible" name="Pivot Table 5 Customer" sheetId="11" r:id="rId15"/>
    <sheet state="visible" name="Pivot Table 6 Quantity " sheetId="12" r:id="rId16"/>
  </sheets>
  <definedNames/>
  <calcPr/>
  <pivotCaches>
    <pivotCache cacheId="0" r:id="rId17"/>
  </pivotCaches>
</workbook>
</file>

<file path=xl/sharedStrings.xml><?xml version="1.0" encoding="utf-8"?>
<sst xmlns="http://schemas.openxmlformats.org/spreadsheetml/2006/main" count="2854" uniqueCount="292">
  <si>
    <t>Order ID</t>
  </si>
  <si>
    <t>Order Date</t>
  </si>
  <si>
    <t>Customer</t>
  </si>
  <si>
    <t>Region</t>
  </si>
  <si>
    <t>Product</t>
  </si>
  <si>
    <t>Category</t>
  </si>
  <si>
    <t>Quantity</t>
  </si>
  <si>
    <t>Unit Price</t>
  </si>
  <si>
    <t>Discount</t>
  </si>
  <si>
    <t>Sales</t>
  </si>
  <si>
    <t>Profit</t>
  </si>
  <si>
    <t>ORD-0001</t>
  </si>
  <si>
    <t>Customer 058</t>
  </si>
  <si>
    <t>East</t>
  </si>
  <si>
    <t>Monitor</t>
  </si>
  <si>
    <t>Displays</t>
  </si>
  <si>
    <t>data change notes</t>
  </si>
  <si>
    <t>ORD-0002</t>
  </si>
  <si>
    <t>Customer 022</t>
  </si>
  <si>
    <t>North</t>
  </si>
  <si>
    <t>1 ord 0021 duplicate</t>
  </si>
  <si>
    <t>ORD-0003</t>
  </si>
  <si>
    <t>Customer 033</t>
  </si>
  <si>
    <t>West</t>
  </si>
  <si>
    <t>Wireless Mouse</t>
  </si>
  <si>
    <t>Accessories</t>
  </si>
  <si>
    <t>2. ord 0166 missing order date</t>
  </si>
  <si>
    <t>ORD-0004</t>
  </si>
  <si>
    <t>Customer 028</t>
  </si>
  <si>
    <t>3. ord 0143 missing quantity</t>
  </si>
  <si>
    <t>ORD-0005</t>
  </si>
  <si>
    <t>Customer 052</t>
  </si>
  <si>
    <t>Desk Lamp</t>
  </si>
  <si>
    <t>Office</t>
  </si>
  <si>
    <t>4. ord 0117 missing discount Assumed 0</t>
  </si>
  <si>
    <t>ORD-0006</t>
  </si>
  <si>
    <t>Customer 004</t>
  </si>
  <si>
    <t>Laptop Stand</t>
  </si>
  <si>
    <t>ORD-0007</t>
  </si>
  <si>
    <t>USB-C Hub</t>
  </si>
  <si>
    <t>ORD-0008</t>
  </si>
  <si>
    <t>Customer 036</t>
  </si>
  <si>
    <t>ORD-0009</t>
  </si>
  <si>
    <t>Customer 029</t>
  </si>
  <si>
    <t>ORD-0010</t>
  </si>
  <si>
    <t>Customer 048</t>
  </si>
  <si>
    <t>ORD-0011</t>
  </si>
  <si>
    <t>Customer 045</t>
  </si>
  <si>
    <t>South</t>
  </si>
  <si>
    <t>ORD-0012</t>
  </si>
  <si>
    <t xml:space="preserve">Notes </t>
  </si>
  <si>
    <t>ORD-0013</t>
  </si>
  <si>
    <t>Customer 024</t>
  </si>
  <si>
    <t>Webcam</t>
  </si>
  <si>
    <t>ORD-0014</t>
  </si>
  <si>
    <t>Customer 042</t>
  </si>
  <si>
    <t>Keyboard</t>
  </si>
  <si>
    <t xml:space="preserve">Deleted Ord 0166 </t>
  </si>
  <si>
    <t>ORD-0015</t>
  </si>
  <si>
    <t>ORD-0016</t>
  </si>
  <si>
    <t xml:space="preserve"> North </t>
  </si>
  <si>
    <t>Customer 001</t>
  </si>
  <si>
    <t>ORD-0017</t>
  </si>
  <si>
    <t xml:space="preserve">Deleted Ord 0143 </t>
  </si>
  <si>
    <t>Customer 014</t>
  </si>
  <si>
    <t>ORD-0018</t>
  </si>
  <si>
    <t>Customer 032</t>
  </si>
  <si>
    <t>ORD-0019</t>
  </si>
  <si>
    <t>ORD-0020</t>
  </si>
  <si>
    <t>ORD-0021</t>
  </si>
  <si>
    <t>Customer 044</t>
  </si>
  <si>
    <t>ORD-0022</t>
  </si>
  <si>
    <t>Headset</t>
  </si>
  <si>
    <t>Audio</t>
  </si>
  <si>
    <t>ORD-0023</t>
  </si>
  <si>
    <t>Customer 006</t>
  </si>
  <si>
    <t>ORD-0024</t>
  </si>
  <si>
    <t>Customer 015</t>
  </si>
  <si>
    <t>ORD-0025</t>
  </si>
  <si>
    <t>Customer 012</t>
  </si>
  <si>
    <t>ORD-0026</t>
  </si>
  <si>
    <t>Customer 049</t>
  </si>
  <si>
    <t>ORD-0027</t>
  </si>
  <si>
    <t>Customer 002</t>
  </si>
  <si>
    <t>ORD-0028</t>
  </si>
  <si>
    <t>Customer 056</t>
  </si>
  <si>
    <t>ORD-0029</t>
  </si>
  <si>
    <t>Customer 016</t>
  </si>
  <si>
    <t>ORD-0030</t>
  </si>
  <si>
    <t>Customer 059</t>
  </si>
  <si>
    <t>Total sales</t>
  </si>
  <si>
    <t>ORD-0031</t>
  </si>
  <si>
    <t>Customer 041</t>
  </si>
  <si>
    <t>ORD-0032</t>
  </si>
  <si>
    <t>Customer 031</t>
  </si>
  <si>
    <t>ORD-0033</t>
  </si>
  <si>
    <t>ORD-0034</t>
  </si>
  <si>
    <t>ORD-0035</t>
  </si>
  <si>
    <t>ORD-0036</t>
  </si>
  <si>
    <t>ORD-0037</t>
  </si>
  <si>
    <t>Customer 054</t>
  </si>
  <si>
    <t>ORD-0038</t>
  </si>
  <si>
    <t>ORD-0039</t>
  </si>
  <si>
    <t>ORD-0040</t>
  </si>
  <si>
    <t>Customer 051</t>
  </si>
  <si>
    <t>ORD-0041</t>
  </si>
  <si>
    <t>ORD-0042</t>
  </si>
  <si>
    <t>ORD-0043</t>
  </si>
  <si>
    <t>Customer 053</t>
  </si>
  <si>
    <t>ORD-0044</t>
  </si>
  <si>
    <t>Customer 003</t>
  </si>
  <si>
    <t>ORD-0045</t>
  </si>
  <si>
    <t>Total Profits</t>
  </si>
  <si>
    <t>ORD-0046</t>
  </si>
  <si>
    <t>Customer 040</t>
  </si>
  <si>
    <t>ORD-0047</t>
  </si>
  <si>
    <t>Customer 035</t>
  </si>
  <si>
    <t>ORD-0048</t>
  </si>
  <si>
    <t>Customer 020</t>
  </si>
  <si>
    <t>ORD-0049</t>
  </si>
  <si>
    <t>Total Quantities sold</t>
  </si>
  <si>
    <t>ORD-0050</t>
  </si>
  <si>
    <t>ORD-0051</t>
  </si>
  <si>
    <t>ORD-0052</t>
  </si>
  <si>
    <t>ORD-0053</t>
  </si>
  <si>
    <t>ORD-0054</t>
  </si>
  <si>
    <t>Customer 037</t>
  </si>
  <si>
    <t>ORD-0055</t>
  </si>
  <si>
    <t>Wireless  Mouse</t>
  </si>
  <si>
    <t>Average Order Value</t>
  </si>
  <si>
    <t>ORD-0056</t>
  </si>
  <si>
    <t>ORD-0057</t>
  </si>
  <si>
    <t>ORD-0058</t>
  </si>
  <si>
    <t>Customer 005</t>
  </si>
  <si>
    <t>ORD-0059</t>
  </si>
  <si>
    <t>Customer 026</t>
  </si>
  <si>
    <t>ORD-0060</t>
  </si>
  <si>
    <t>Customer 010</t>
  </si>
  <si>
    <t>ORD-0061</t>
  </si>
  <si>
    <t>ORD-0062</t>
  </si>
  <si>
    <t>Customer 027</t>
  </si>
  <si>
    <t>ORD-0063</t>
  </si>
  <si>
    <t>Customer 043</t>
  </si>
  <si>
    <t>ORD-0064</t>
  </si>
  <si>
    <t>Profit Margin</t>
  </si>
  <si>
    <t>Customer 013</t>
  </si>
  <si>
    <t>ORD-0065</t>
  </si>
  <si>
    <t>ORD-0066</t>
  </si>
  <si>
    <t>ORD-0067</t>
  </si>
  <si>
    <t>ORD-0068</t>
  </si>
  <si>
    <t>Customer 018</t>
  </si>
  <si>
    <t>ORD-0069</t>
  </si>
  <si>
    <t>ORD-0070</t>
  </si>
  <si>
    <t>ORD-0071</t>
  </si>
  <si>
    <t>Customer 009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</si>
  <si>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</si>
  <si>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</si>
  <si>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</si>
  <si>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</si>
  <si>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</si>
  <si>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</si>
  <si>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</si>
  <si>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</si>
  <si>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</si>
  <si>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</si>
  <si>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</si>
  <si>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Customer 021</t>
  </si>
  <si>
    <t>ORD-0083</t>
  </si>
  <si>
    <t>Customer 057</t>
  </si>
  <si>
    <t xml:space="preserve"> Customer 014</t>
  </si>
  <si>
    <t>ORD-0084</t>
  </si>
  <si>
    <t>ORD-0085</t>
  </si>
  <si>
    <t>ORD-0086</t>
  </si>
  <si>
    <t>Customer 060</t>
  </si>
  <si>
    <t>ORD-0087</t>
  </si>
  <si>
    <t>ORD-0088</t>
  </si>
  <si>
    <t>ORD-0089</t>
  </si>
  <si>
    <t>Customer 050</t>
  </si>
  <si>
    <t>ORD-0090</t>
  </si>
  <si>
    <t>Customer 047</t>
  </si>
  <si>
    <t>ORD-0091</t>
  </si>
  <si>
    <t>ORD-0092</t>
  </si>
  <si>
    <t>ORD-0093</t>
  </si>
  <si>
    <t>ORD-0094</t>
  </si>
  <si>
    <t>ORD-0095</t>
  </si>
  <si>
    <t>Customer 008</t>
  </si>
  <si>
    <t>ORD-0096</t>
  </si>
  <si>
    <t>ORD-0097</t>
  </si>
  <si>
    <t>ORD-0098</t>
  </si>
  <si>
    <t>ORD-0099</t>
  </si>
  <si>
    <t>ORD-0100</t>
  </si>
  <si>
    <t>ORD-0101</t>
  </si>
  <si>
    <t>Customer 034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</si>
  <si>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</si>
  <si>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</si>
  <si>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</si>
  <si>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</si>
  <si>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</si>
  <si>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</si>
  <si>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</si>
  <si>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</si>
  <si>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</si>
  <si>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</si>
  <si>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Customer 025</t>
  </si>
  <si>
    <t>ORD-0112</t>
  </si>
  <si>
    <t>ORD-0113</t>
  </si>
  <si>
    <t>ORD-0114</t>
  </si>
  <si>
    <t>Customer 019</t>
  </si>
  <si>
    <t>ORD-0115</t>
  </si>
  <si>
    <t>ORD-0116</t>
  </si>
  <si>
    <t>ORD-0117</t>
  </si>
  <si>
    <t>ORD-0118</t>
  </si>
  <si>
    <t>Customer 011</t>
  </si>
  <si>
    <t>ORD-0119</t>
  </si>
  <si>
    <t>ORD-0120</t>
  </si>
  <si>
    <t>ORD-0121</t>
  </si>
  <si>
    <t>ORD-0122</t>
  </si>
  <si>
    <t>ORD-0123</t>
  </si>
  <si>
    <t>ORD-0124</t>
  </si>
  <si>
    <t>Customer 055</t>
  </si>
  <si>
    <t>ORD-0125</t>
  </si>
  <si>
    <t>ORD-0126</t>
  </si>
  <si>
    <t>ORD-0127</t>
  </si>
  <si>
    <t>ORD-0128</t>
  </si>
  <si>
    <t>ORD-0129</t>
  </si>
  <si>
    <t>Customer 038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</si>
  <si>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</si>
  <si>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</si>
  <si>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</si>
  <si>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</si>
  <si>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</si>
  <si>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</si>
  <si>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</si>
  <si>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</si>
  <si>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Customer 023</t>
  </si>
  <si>
    <t>ORD-0138</t>
  </si>
  <si>
    <t>ORD-0139</t>
  </si>
  <si>
    <t>ORD-0140</t>
  </si>
  <si>
    <t>ORD-0141</t>
  </si>
  <si>
    <t>Customer 046</t>
  </si>
  <si>
    <t>ORD-0142</t>
  </si>
  <si>
    <t>ORD-0143</t>
  </si>
  <si>
    <t>ORD-0144</t>
  </si>
  <si>
    <t>Customer 017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</si>
  <si>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</si>
  <si>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</si>
  <si>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</si>
  <si>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</si>
  <si>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</si>
  <si>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</si>
  <si>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</si>
  <si>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</si>
  <si>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</si>
  <si>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</si>
  <si>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</si>
  <si>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</si>
  <si>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</si>
  <si>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</si>
  <si>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</si>
  <si>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</si>
  <si>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</si>
  <si>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Customer 039</t>
  </si>
  <si>
    <t>Sales Performance Dashboard</t>
  </si>
  <si>
    <t>ORD-0162</t>
  </si>
  <si>
    <t>ORD-0163</t>
  </si>
  <si>
    <t>ORD-0164</t>
  </si>
  <si>
    <t>Total Sales</t>
  </si>
  <si>
    <t>ORD-0165</t>
  </si>
  <si>
    <t>Total Profit</t>
  </si>
  <si>
    <t>Quantity Sold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</si>
  <si>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</si>
  <si>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</si>
  <si>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</si>
  <si>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</si>
  <si>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</si>
  <si>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</si>
  <si>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</si>
  <si>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</si>
  <si>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</si>
  <si>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</si>
  <si>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</si>
  <si>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</si>
  <si>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</si>
  <si>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</si>
  <si>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 xml:space="preserve">Sales </t>
  </si>
  <si>
    <t>Profit Margin%</t>
  </si>
  <si>
    <t xml:space="preserve"> Total Sales</t>
  </si>
  <si>
    <t>webcam</t>
  </si>
  <si>
    <t>SUM of Sales</t>
  </si>
  <si>
    <t>Grand Total</t>
  </si>
  <si>
    <t>SUM of Profit</t>
  </si>
  <si>
    <t>SUM of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</si>
</sst>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&quot;$&quot;#,##0.0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i/>
      <sz val="18.0"/>
      <color rgb="FF000000"/>
      <name val="Calibri"/>
      <scheme val="minor"/>
    </font>
    <font/>
    <font>
      <b/>
      <i/>
      <sz val="12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2" xfId="0" applyFont="1" applyNumberFormat="1"/>
    <xf borderId="0" fillId="0" fontId="2" numFmtId="10" xfId="0" applyFont="1" applyNumberFormat="1"/>
    <xf borderId="0" fillId="2" fontId="2" numFmtId="0" xfId="0" applyAlignment="1" applyFill="1" applyFont="1">
      <alignment readingOrder="0"/>
    </xf>
    <xf borderId="0" fillId="3" fontId="2" numFmtId="0" xfId="0" applyFill="1" applyFont="1"/>
    <xf borderId="2" fillId="4" fontId="4" numFmtId="0" xfId="0" applyAlignment="1" applyBorder="1" applyFill="1" applyFont="1">
      <alignment horizontal="center" readingOrder="0" shrinkToFit="0" wrapText="1"/>
    </xf>
    <xf borderId="3" fillId="0" fontId="5" numFmtId="0" xfId="0" applyBorder="1" applyFont="1"/>
    <xf borderId="4" fillId="0" fontId="5" numFmtId="0" xfId="0" applyBorder="1" applyFont="1"/>
    <xf borderId="2" fillId="4" fontId="6" numFmtId="0" xfId="0" applyAlignment="1" applyBorder="1" applyFill="1" applyFont="1">
      <alignment horizontal="center" readingOrder="0"/>
    </xf>
    <xf borderId="0" fillId="4" fontId="2" numFmtId="0" xfId="0" applyFill="1" applyFont="1"/>
    <xf borderId="0" fillId="4" fontId="2" numFmtId="0" xfId="0" applyAlignment="1" applyFill="1" applyFont="1">
      <alignment readingOrder="0"/>
    </xf>
    <xf borderId="2" fillId="4" fontId="6" numFmtId="0" xfId="0" applyAlignment="1" applyBorder="1" applyFill="1" applyFont="1">
      <alignment horizontal="center" readingOrder="0" shrinkToFit="0" wrapText="1"/>
    </xf>
    <xf borderId="2" fillId="0" fontId="7" numFmtId="165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 Product'!$B$1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 Product'!$A$2:$A$9</c:f>
            </c:strRef>
          </c:cat>
          <c:val>
            <c:numRef>
              <c:f>'Pivot Table 1 Product'!$B$2:$B$9</c:f>
              <c:numCache/>
            </c:numRef>
          </c:val>
        </c:ser>
        <c:axId val="285632541"/>
        <c:axId val="329116529"/>
      </c:barChart>
      <c:catAx>
        <c:axId val="2856325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116529"/>
      </c:catAx>
      <c:valAx>
        <c:axId val="3291165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6325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 Region'!$B$1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 Region'!$A$2:$A$5</c:f>
            </c:strRef>
          </c:cat>
          <c:val>
            <c:numRef>
              <c:f>'Pivot Table 3 Region'!$B$2:$B$5</c:f>
              <c:numCache/>
            </c:numRef>
          </c:val>
        </c:ser>
        <c:axId val="924498482"/>
        <c:axId val="962237880"/>
      </c:barChart>
      <c:catAx>
        <c:axId val="9244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237880"/>
      </c:catAx>
      <c:valAx>
        <c:axId val="962237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498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4 Profit'!$B$1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 Profit'!$A$2:$A$9</c:f>
            </c:strRef>
          </c:cat>
          <c:val>
            <c:numRef>
              <c:f>'Pivot Table 4 Profit'!$B$2:$B$9</c:f>
              <c:numCache/>
            </c:numRef>
          </c:val>
        </c:ser>
        <c:axId val="1993226828"/>
        <c:axId val="639727710"/>
      </c:barChart>
      <c:catAx>
        <c:axId val="19932268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727710"/>
      </c:catAx>
      <c:valAx>
        <c:axId val="6397277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2268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 Region'!$B$1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 Region'!$A$2:$A$5</c:f>
            </c:strRef>
          </c:cat>
          <c:val>
            <c:numRef>
              <c:f>'Pivot Table 3 Region'!$B$2:$B$5</c:f>
              <c:numCache/>
            </c:numRef>
          </c:val>
        </c:ser>
        <c:axId val="383106634"/>
        <c:axId val="866141575"/>
      </c:barChart>
      <c:catAx>
        <c:axId val="383106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141575"/>
      </c:catAx>
      <c:valAx>
        <c:axId val="866141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106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5</xdr:row>
      <xdr:rowOff>28575</xdr:rowOff>
    </xdr:from>
    <xdr:ext cx="3609975" cy="2228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676275</xdr:colOff>
      <xdr:row>5</xdr:row>
      <xdr:rowOff>28575</xdr:rowOff>
    </xdr:from>
    <xdr:ext cx="3629025" cy="2228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561975</xdr:colOff>
      <xdr:row>5</xdr:row>
      <xdr:rowOff>28575</xdr:rowOff>
    </xdr:from>
    <xdr:ext cx="3629025" cy="2228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98" sheet="Analysis"/>
  </cacheSource>
  <cacheFields>
    <cacheField name="Order ID" numFmtId="0">
      <sharedItems containsBlank="1">
        <s v="ORD-0001"/>
        <s v="ORD-0002"/>
        <s v="ORD-0003"/>
        <s v="ORD-0004"/>
        <s v="ORD-0005"/>
        <s v="ORD-0006"/>
        <s v="ORD-0007"/>
        <s v="ORD-0008"/>
        <s v="ORD-0009"/>
        <s v="ORD-0010"/>
        <s v="ORD-0011"/>
        <s v="ORD-0012"/>
        <s v="ORD-0013"/>
        <s v="ORD-0014"/>
        <s v="ORD-0015"/>
        <s v="ORD-0016"/>
        <s v="ORD-0017"/>
        <s v="ORD-0018"/>
        <s v="ORD-0019"/>
        <s v="ORD-0020"/>
        <s v="ORD-0021"/>
        <s v="ORD-0022"/>
        <s v="ORD-0023"/>
        <s v="ORD-0024"/>
        <s v="ORD-0025"/>
        <s v="ORD-0026"/>
        <s v="ORD-0027"/>
        <s v="ORD-0028"/>
        <s v="ORD-0029"/>
        <s v="ORD-0030"/>
        <s v="ORD-0031"/>
        <s v="ORD-0032"/>
        <s v="ORD-0033"/>
        <s v="ORD-0034"/>
        <s v="ORD-0035"/>
        <s v="ORD-0036"/>
        <s v="ORD-0037"/>
        <s v="ORD-0038"/>
        <s v="ORD-0039"/>
        <s v="ORD-0040"/>
        <s v="ORD-0041"/>
        <s v="ORD-0042"/>
        <s v="ORD-0043"/>
        <s v="ORD-0044"/>
        <s v="ORD-0045"/>
        <s v="ORD-0046"/>
        <s v="ORD-0047"/>
        <s v="ORD-0048"/>
        <s v="ORD-0049"/>
        <s v="ORD-0050"/>
        <s v="ORD-0051"/>
        <s v="ORD-0052"/>
        <s v="ORD-0053"/>
        <s v="ORD-0054"/>
        <s v="ORD-0055"/>
        <s v="ORD-0056"/>
        <s v="ORD-0057"/>
        <s v="ORD-0058"/>
        <s v="ORD-0059"/>
        <s v="ORD-0060"/>
        <s v="ORD-0061"/>
        <s v="ORD-0062"/>
        <s v="ORD-0063"/>
        <s v="ORD-0064"/>
        <s v="ORD-0065"/>
        <s v="ORD-0066"/>
        <s v="ORD-0067"/>
        <s v="ORD-0068"/>
        <s v="ORD-0069"/>
        <s v="ORD-0070"/>
        <s v="ORD-0071"/>
        <s v="ORD-0072"/>
        <s v="ORD-0073"/>
        <s v="ORD-0074"/>
        <s v="ORD-0075"/>
        <s v="ORD-0076"/>
        <s v="ORD-0077"/>
        <s v="ORD-0078"/>
        <s v="ORD-0079"/>
        <s v="ORD-0080"/>
        <s v="ORD-0081"/>
        <s v="ORD-0082"/>
        <s v="ORD-0083"/>
        <s v="ORD-0084"/>
        <s v="ORD-0085"/>
        <s v="ORD-0086"/>
        <s v="ORD-0087"/>
        <s v="ORD-0088"/>
        <s v="ORD-0089"/>
        <s v="ORD-0090"/>
        <s v="ORD-0091"/>
        <s v="ORD-0092"/>
        <s v="ORD-0093"/>
        <s v="ORD-0094"/>
        <s v="ORD-0095"/>
        <s v="ORD-0096"/>
        <s v="ORD-0097"/>
        <s v="ORD-0098"/>
        <s v="ORD-0099"/>
        <s v="ORD-0100"/>
        <s v="ORD-0101"/>
        <s v="ORD-0102"/>
        <s v="ORD-0103"/>
        <s v="ORD-0104"/>
        <s v="ORD-0105"/>
        <s v="ORD-0106"/>
        <s v="ORD-0107"/>
        <s v="ORD-0108"/>
        <s v="ORD-0109"/>
        <s v="ORD-0110"/>
        <s v="ORD-0111"/>
        <s v="ORD-0112"/>
        <s v="ORD-0113"/>
        <s v="ORD-0114"/>
        <s v="ORD-0115"/>
        <s v="ORD-0116"/>
        <s v="ORD-0117"/>
        <s v="ORD-0118"/>
        <s v="ORD-0119"/>
        <s v="ORD-0120"/>
        <s v="ORD-0121"/>
        <s v="ORD-0122"/>
        <s v="ORD-0123"/>
        <s v="ORD-0124"/>
        <s v="ORD-0125"/>
        <s v="ORD-0126"/>
        <s v="ORD-0127"/>
        <s v="ORD-0128"/>
        <s v="ORD-0129"/>
        <s v="ORD-0130"/>
        <s v="ORD-0131"/>
        <s v="ORD-0132"/>
        <s v="ORD-0133"/>
        <s v="ORD-0134"/>
        <s v="ORD-0135"/>
        <s v="ORD-0136"/>
        <s v="ORD-0137"/>
        <s v="ORD-0138"/>
        <s v="ORD-0139"/>
        <s v="ORD-0140"/>
        <s v="ORD-0141"/>
        <s v="ORD-0142"/>
        <s v="ORD-0144"/>
        <s v="ORD-0145"/>
        <s v="ORD-0146"/>
        <s v="ORD-0147"/>
        <s v="ORD-0148"/>
        <s v="ORD-0149"/>
        <s v="ORD-0150"/>
        <s v="ORD-0151"/>
        <s v="ORD-0152"/>
        <s v="ORD-0153"/>
        <s v="ORD-0154"/>
        <s v="ORD-0155"/>
        <s v="ORD-0156"/>
        <s v="ORD-0157"/>
        <s v="ORD-0158"/>
        <s v="ORD-0159"/>
        <s v="ORD-0160"/>
        <s v="ORD-0161"/>
        <s v="ORD-0162"/>
        <s v="ORD-0163"/>
        <s v="ORD-0164"/>
        <s v="ORD-0165"/>
        <s v="ORD-0167"/>
        <s v="ORD-0168"/>
        <s v="ORD-0169"/>
        <s v="ORD-0170"/>
        <s v="ORD-0171"/>
        <s v="ORD-0172"/>
        <s v="ORD-0173"/>
        <s v="ORD-0174"/>
        <s v="ORD-0175"/>
        <s v="ORD-0176"/>
        <s v="ORD-0177"/>
        <s v="ORD-0178"/>
        <s v="ORD-0179"/>
        <m/>
      </sharedItems>
    </cacheField>
    <cacheField name="Order Date" numFmtId="164">
      <sharedItems containsDate="1" containsString="0" containsBlank="1">
        <d v="2025-04-13T00:00:00Z"/>
        <d v="2025-05-11T00:00:00Z"/>
        <d v="2025-10-04T00:00:00Z"/>
        <d v="2025-06-19T00:00:00Z"/>
        <d v="2025-02-24T00:00:00Z"/>
        <d v="2025-10-01T00:00:00Z"/>
        <d v="2025-12-06T00:00:00Z"/>
        <d v="2025-03-22T00:00:00Z"/>
        <d v="2025-11-06T00:00:00Z"/>
        <d v="2025-12-17T00:00:00Z"/>
        <d v="2025-07-27T00:00:00Z"/>
        <d v="2025-02-10T00:00:00Z"/>
        <d v="2025-05-16T00:00:00Z"/>
        <d v="2025-09-18T00:00:00Z"/>
        <d v="2025-02-02T00:00:00Z"/>
        <d v="2025-02-04T00:00:00Z"/>
        <d v="2025-09-12T00:00:00Z"/>
        <d v="2025-06-28T00:00:00Z"/>
        <d v="2025-08-19T00:00:00Z"/>
        <d v="2025-03-27T00:00:00Z"/>
        <d v="2025-04-18T00:00:00Z"/>
        <d v="2025-12-25T00:00:00Z"/>
        <d v="2025-06-01T00:00:00Z"/>
        <d v="2025-02-21T00:00:00Z"/>
        <d v="2025-07-06T00:00:00Z"/>
        <d v="2025-05-06T00:00:00Z"/>
        <d v="2025-07-22T00:00:00Z"/>
        <d v="2025-08-28T00:00:00Z"/>
        <d v="2025-09-09T00:00:00Z"/>
        <d v="2025-11-04T00:00:00Z"/>
        <d v="2025-05-31T00:00:00Z"/>
        <d v="2025-03-01T00:00:00Z"/>
        <d v="2025-01-09T00:00:00Z"/>
        <d v="2025-06-10T00:00:00Z"/>
        <d v="2025-08-15T00:00:00Z"/>
        <d v="2025-07-13T00:00:00Z"/>
        <d v="2025-06-25T00:00:00Z"/>
        <d v="2025-12-31T00:00:00Z"/>
        <d v="2025-11-13T00:00:00Z"/>
        <d v="2025-06-07T00:00:00Z"/>
        <d v="2025-10-29T00:00:00Z"/>
        <d v="2025-06-23T00:00:00Z"/>
        <d v="2025-09-30T00:00:00Z"/>
        <d v="2025-01-26T00:00:00Z"/>
        <d v="2025-06-22T00:00:00Z"/>
        <d v="2025-05-23T00:00:00Z"/>
        <d v="2025-03-04T00:00:00Z"/>
        <d v="2025-04-11T00:00:00Z"/>
        <d v="2025-05-04T00:00:00Z"/>
        <d v="2025-12-12T00:00:00Z"/>
        <d v="2025-02-27T00:00:00Z"/>
        <d v="2025-08-25T00:00:00Z"/>
        <d v="2025-09-04T00:00:00Z"/>
        <d v="2025-08-08T00:00:00Z"/>
        <d v="2025-08-06T00:00:00Z"/>
        <d v="2025-09-07T00:00:00Z"/>
        <d v="2025-04-06T00:00:00Z"/>
        <d v="2025-06-09T00:00:00Z"/>
        <d v="2025-10-12T00:00:00Z"/>
        <d v="2025-12-03T00:00:00Z"/>
        <d v="2025-07-15T00:00:00Z"/>
        <d v="2025-09-06T00:00:00Z"/>
        <d v="2025-02-05T00:00:00Z"/>
        <d v="2025-07-02T00:00:00Z"/>
        <d v="2025-08-05T00:00:00Z"/>
        <d v="2025-03-17T00:00:00Z"/>
        <d v="2025-05-24T00:00:00Z"/>
        <d v="2025-05-02T00:00:00Z"/>
        <d v="2025-03-15T00:00:00Z"/>
        <d v="2025-10-10T00:00:00Z"/>
        <d v="2025-11-17T00:00:00Z"/>
        <d v="2025-02-08T00:00:00Z"/>
        <d v="2025-11-08T00:00:00Z"/>
        <d v="2025-10-30T00:00:00Z"/>
        <d v="2025-01-20T00:00:00Z"/>
        <d v="2025-02-23T00:00:00Z"/>
        <d v="2025-12-24T00:00:00Z"/>
        <d v="2025-07-05T00:00:00Z"/>
        <d v="2025-05-25T00:00:00Z"/>
        <d v="2025-10-13T00:00:00Z"/>
        <d v="2025-08-12T00:00:00Z"/>
        <d v="2025-06-26T00:00:00Z"/>
        <d v="2025-01-06T00:00:00Z"/>
        <d v="2025-02-22T00:00:00Z"/>
        <d v="2025-02-20T00:00:00Z"/>
        <d v="2025-04-05T00:00:00Z"/>
        <d v="2025-09-25T00:00:00Z"/>
        <d v="2025-07-11T00:00:00Z"/>
        <d v="2025-03-10T00:00:00Z"/>
        <d v="2025-04-21T00:00:00Z"/>
        <d v="2025-12-26T00:00:00Z"/>
        <d v="2025-03-02T00:00:00Z"/>
        <d v="2025-11-22T00:00:00Z"/>
        <d v="2025-10-28T00:00:00Z"/>
        <d v="2025-04-17T00:00:00Z"/>
        <d v="2025-06-29T00:00:00Z"/>
        <d v="2025-08-04T00:00:00Z"/>
        <d v="2025-08-26T00:00:00Z"/>
        <d v="2025-04-19T00:00:00Z"/>
        <d v="2025-08-24T00:00:00Z"/>
        <d v="2025-11-11T00:00:00Z"/>
        <d v="2025-04-22T00:00:00Z"/>
        <d v="2025-03-03T00:00:00Z"/>
        <d v="2025-01-01T00:00:00Z"/>
        <d v="2025-09-16T00:00:00Z"/>
        <d v="2025-01-13T00:00:00Z"/>
        <d v="2025-02-07T00:00:00Z"/>
        <d v="2025-11-30T00:00:00Z"/>
        <d v="2025-11-16T00:00:00Z"/>
        <d v="2025-03-30T00:00:00Z"/>
        <d v="2025-11-05T00:00:00Z"/>
        <d v="2025-02-11T00:00:00Z"/>
        <d v="2025-06-06T00:00:00Z"/>
        <d v="2025-02-16T00:00:00Z"/>
        <d v="2025-10-09T00:00:00Z"/>
        <d v="2025-07-19T00:00:00Z"/>
        <d v="2025-07-29T00:00:00Z"/>
        <d v="2025-11-20T00:00:00Z"/>
        <d v="2025-05-29T00:00:00Z"/>
        <d v="2025-12-13T00:00:00Z"/>
        <d v="2025-06-05T00:00:00Z"/>
        <d v="2025-12-08T00:00:00Z"/>
        <d v="2025-08-03T00:00:00Z"/>
        <d v="2025-04-23T00:00:00Z"/>
        <d v="2025-09-21T00:00:00Z"/>
        <d v="2025-06-14T00:00:00Z"/>
        <d v="2025-01-02T00:00:00Z"/>
        <d v="2025-04-29T00:00:00Z"/>
        <d v="2025-12-21T00:00:00Z"/>
        <d v="2025-10-08T00:00:00Z"/>
        <d v="2025-12-28T00:00:00Z"/>
        <d v="2025-08-20T00:00:00Z"/>
        <d v="2025-10-16T00:00:00Z"/>
        <d v="2025-05-09T00:00:00Z"/>
        <d v="2025-08-17T00:00:00Z"/>
        <d v="2025-11-01T00:00:00Z"/>
        <d v="2025-12-05T00:00:00Z"/>
        <d v="2025-01-25T00:00:00Z"/>
        <d v="2025-10-15T00:00:00Z"/>
        <d v="2025-09-27T00:00:00Z"/>
        <d v="2025-03-23T00:00:00Z"/>
        <d v="2025-01-14T00:00:00Z"/>
        <m/>
      </sharedItems>
    </cacheField>
    <cacheField name="Customer" numFmtId="0">
      <sharedItems containsBlank="1">
        <s v="Customer 058"/>
        <s v="Customer 022"/>
        <s v="Customer 033"/>
        <s v="Customer 028"/>
        <s v="Customer 052"/>
        <s v="Customer 004"/>
        <s v="Customer 036"/>
        <s v="Customer 029"/>
        <s v="Customer 048"/>
        <s v="Customer 045"/>
        <s v="Customer 024"/>
        <s v="Customer 042"/>
        <s v="Customer 001"/>
        <s v="Customer 014"/>
        <s v="Customer 032"/>
        <s v="Customer 044"/>
        <s v="Customer 006"/>
        <s v="Customer 015"/>
        <s v="Customer 012"/>
        <s v="Customer 049"/>
        <s v="Customer 002"/>
        <s v="Customer 056"/>
        <s v="Customer 016"/>
        <s v="Customer 059"/>
        <s v="Customer 041"/>
        <s v="Customer 031"/>
        <s v="Customer 054"/>
        <s v="Customer 051"/>
        <s v="Customer 053"/>
        <s v="Customer 003"/>
        <s v="Customer 040"/>
        <s v="Customer 035"/>
        <s v="Customer 020"/>
        <s v="Customer 037"/>
        <s v="Customer 005"/>
        <s v="Customer 026"/>
        <s v="Customer 010"/>
        <s v="Customer 027"/>
        <s v="Customer 043"/>
        <s v="Customer 013"/>
        <s v="Customer 018"/>
        <s v="Customer 009"/>
        <s v="Customer 021"/>
        <s v="Customer 057"/>
        <s v="Customer 060"/>
        <s v="Customer 050"/>
        <s v="Customer 047"/>
        <s v="Customer 008"/>
        <s v="Customer 034"/>
        <s v="Customer 025"/>
        <s v="Customer 019"/>
        <s v="Customer 011"/>
        <s v="Customer 055"/>
        <s v="Customer 038"/>
        <s v="Customer 023"/>
        <s v="Customer 046"/>
        <s v="Customer 017"/>
        <s v="Customer 039"/>
        <m/>
      </sharedItems>
    </cacheField>
    <cacheField name="Region" numFmtId="0">
      <sharedItems containsBlank="1">
        <s v="East"/>
        <s v="North"/>
        <s v="West"/>
        <s v="South"/>
        <m/>
      </sharedItems>
    </cacheField>
    <cacheField name="Product" numFmtId="0">
      <sharedItems containsBlank="1">
        <s v="Monitor"/>
        <s v="Wireless Mouse"/>
        <s v="Desk Lamp"/>
        <s v="Laptop Stand"/>
        <s v="USB-C Hub"/>
        <s v="Webcam"/>
        <s v="Keyboard"/>
        <s v="Headset"/>
        <m/>
      </sharedItems>
    </cacheField>
    <cacheField name="Category" numFmtId="0">
      <sharedItems containsBlank="1">
        <s v="Displays"/>
        <s v="Accessories"/>
        <s v="Office"/>
        <s v="Audio"/>
        <m/>
      </sharedItems>
    </cacheField>
    <cacheField name="Quantity" numFmtId="0">
      <sharedItems containsString="0" containsBlank="1" containsNumber="1" containsInteger="1">
        <n v="4.0"/>
        <n v="3.0"/>
        <n v="8.0"/>
        <n v="6.0"/>
        <n v="7.0"/>
        <n v="2.0"/>
        <n v="5.0"/>
        <n v="1.0"/>
        <m/>
      </sharedItems>
    </cacheField>
    <cacheField name="Unit Price" numFmtId="0">
      <sharedItems containsString="0" containsBlank="1" containsNumber="1">
        <n v="225.14"/>
        <n v="208.63"/>
        <n v="23.17"/>
        <n v="20.26"/>
        <n v="31.78"/>
        <n v="37.02"/>
        <n v="40.92"/>
        <n v="39.69"/>
        <n v="31.04"/>
        <n v="21.82"/>
        <n v="30.44"/>
        <n v="212.91"/>
        <n v="50.74"/>
        <n v="49.59"/>
        <n v="23.46"/>
        <n v="204.13"/>
        <n v="56.88"/>
        <n v="49.62"/>
        <n v="35.35"/>
        <n v="45.92"/>
        <n v="21.28"/>
        <n v="65.41"/>
        <n v="34.59"/>
        <n v="47.88"/>
        <n v="65.2"/>
        <n v="217.13"/>
        <n v="20.42"/>
        <n v="42.03"/>
        <n v="36.7"/>
        <n v="35.05"/>
        <n v="48.09"/>
        <n v="32.09"/>
        <n v="21.04"/>
        <n v="37.61"/>
        <n v="50.66"/>
        <n v="45.4"/>
        <n v="37.65"/>
        <n v="30.59"/>
        <n v="33.25"/>
        <n v="46.2"/>
        <n v="31.66"/>
        <n v="40.68"/>
        <n v="53.86"/>
        <n v="50.71"/>
        <n v="21.63"/>
        <n v="34.51"/>
        <n v="36.17"/>
        <n v="37.31"/>
        <n v="31.47"/>
        <n v="22.28"/>
        <n v="21.12"/>
        <n v="52.5"/>
        <n v="67.07"/>
        <n v="47.22"/>
        <n v="57.96"/>
        <n v="201.26"/>
        <n v="33.22"/>
        <n v="20.8"/>
        <n v="36.99"/>
        <n v="53.65"/>
        <n v="51.0"/>
        <n v="52.03"/>
        <n v="31.43"/>
        <n v="41.0"/>
        <n v="193.81"/>
        <n v="56.6"/>
        <n v="23.54"/>
        <n v="55.6"/>
        <n v="204.65"/>
        <n v="32.78"/>
        <n v="47.15"/>
        <n v="40.1"/>
        <n v="46.68"/>
        <n v="224.48"/>
        <n v="204.99"/>
        <n v="36.9"/>
        <n v="51.35"/>
        <n v="37.28"/>
        <n v="55.51"/>
        <n v="54.72"/>
        <n v="35.47"/>
        <n v="57.66"/>
        <n v="70.13"/>
        <n v="200.48"/>
        <n v="29.67"/>
        <n v="38.13"/>
        <n v="55.9"/>
        <n v="48.62"/>
        <n v="50.83"/>
        <n v="49.92"/>
        <n v="21.7"/>
        <n v="57.2"/>
        <n v="21.11"/>
        <n v="41.36"/>
        <n v="22.07"/>
        <n v="36.43"/>
        <n v="214.04"/>
        <n v="65.94"/>
        <n v="37.3"/>
        <n v="41.66"/>
        <n v="53.49"/>
        <n v="198.3"/>
        <n v="37.1"/>
        <n v="45.46"/>
        <n v="33.36"/>
        <n v="21.93"/>
        <n v="37.06"/>
        <n v="209.48"/>
        <n v="20.76"/>
        <n v="41.29"/>
        <n v="50.78"/>
        <n v="35.52"/>
        <n v="40.48"/>
        <n v="34.23"/>
        <n v="52.69"/>
        <n v="46.35"/>
        <n v="216.62"/>
        <n v="225.96"/>
        <n v="212.41"/>
        <n v="37.12"/>
        <n v="32.42"/>
        <n v="20.71"/>
        <n v="36.75"/>
        <n v="69.47"/>
        <n v="45.73"/>
        <n v="30.16"/>
        <n v="52.67"/>
        <n v="36.77"/>
        <n v="210.09"/>
        <n v="45.06"/>
        <n v="209.85"/>
        <n v="33.59"/>
        <n v="57.24"/>
        <n v="52.2"/>
        <n v="22.4"/>
        <n v="222.5"/>
        <n v="56.33"/>
        <n v="34.18"/>
        <n v="69.38"/>
        <n v="23.49"/>
        <n v="47.63"/>
        <n v="31.3"/>
        <n v="37.66"/>
        <n v="55.02"/>
        <n v="31.23"/>
        <n v="46.42"/>
        <n v="61.41"/>
        <n v="23.4"/>
        <n v="22.56"/>
        <n v="35.39"/>
        <n v="33.14"/>
        <n v="63.17"/>
        <n v="45.55"/>
        <n v="53.56"/>
        <n v="54.2"/>
        <n v="61.26"/>
        <n v="22.04"/>
        <n v="68.48"/>
        <n v="57.84"/>
        <n v="35.85"/>
        <n v="46.21"/>
        <n v="23.61"/>
        <n v="47.52"/>
        <n v="22.58"/>
        <n v="198.64"/>
        <n v="34.86"/>
        <n v="47.5"/>
        <n v="44.2"/>
        <n v="35.12"/>
        <n v="56.4"/>
        <n v="40.21"/>
        <n v="199.27"/>
        <n v="199.67"/>
        <n v="38.72"/>
        <m/>
      </sharedItems>
    </cacheField>
    <cacheField name="Discount" numFmtId="0">
      <sharedItems containsString="0" containsBlank="1" containsNumber="1">
        <n v="0.1"/>
        <n v="0.0"/>
        <n v="0.05"/>
        <n v="0.15"/>
        <m/>
      </sharedItems>
    </cacheField>
    <cacheField name="Sales" numFmtId="0">
      <sharedItems containsString="0" containsBlank="1" containsNumber="1">
        <n v="810.52"/>
        <n v="625.89"/>
        <n v="185.36"/>
        <n v="121.59"/>
        <n v="200.18"/>
        <n v="105.49"/>
        <n v="245.55"/>
        <n v="250.02"/>
        <n v="117.94"/>
        <n v="41.46"/>
        <n v="182.66"/>
        <n v="904.89"/>
        <n v="48.2"/>
        <n v="133.89"/>
        <n v="21.11"/>
        <n v="1102.28"/>
        <n v="358.32"/>
        <n v="49.62"/>
        <n v="134.35"/>
        <n v="229.59"/>
        <n v="106.4"/>
        <n v="353.21"/>
        <n v="93.4"/>
        <n v="45.49"/>
        <n v="469.41"/>
        <n v="434.26"/>
        <n v="81.68"/>
        <n v="84.06"/>
        <n v="244.04"/>
        <n v="133.17"/>
        <n v="96.19"/>
        <n v="231.05"/>
        <n v="63.13"/>
        <n v="285.81"/>
        <n v="364.77"/>
        <n v="40.86"/>
        <n v="112.96"/>
        <n v="137.65"/>
        <n v="239.4"/>
        <n v="277.18"/>
        <n v="90.24"/>
        <n v="122.03"/>
        <n v="323.14"/>
        <n v="202.84"/>
        <n v="19.47"/>
        <n v="241.56"/>
        <n v="103.08"/>
        <n v="283.59"/>
        <n v="251.77"/>
        <n v="178.2"/>
        <n v="126.73"/>
        <n v="199.5"/>
        <n v="469.52"/>
        <n v="44.86"/>
        <n v="330.35"/>
        <n v="402.51"/>
        <n v="157.79"/>
        <n v="166.39"/>
        <n v="199.75"/>
        <n v="356.76"/>
        <n v="193.79"/>
        <n v="260.17"/>
        <n v="119.42"/>
        <n v="116.85"/>
        <n v="1162.87"/>
        <n v="113.2"/>
        <n v="117.69"/>
        <n v="52.82"/>
        <n v="1391.63"/>
        <n v="88.5"/>
        <n v="141.45"/>
        <n v="228.59"/>
        <n v="177.4"/>
        <n v="954.04"/>
        <n v="1024.95"/>
        <n v="175.25"/>
        <n v="218.22"/>
        <n v="247.93"/>
        <n v="210.95"/>
        <n v="109.45"/>
        <n v="90.44"/>
        <n v="294.06"/>
        <n v="350.63"/>
        <n v="200.48"/>
        <n v="207.71"/>
        <n v="188.05"/>
        <n v="152.51"/>
        <n v="223.62"/>
        <n v="350.09"/>
        <n v="241.45"/>
        <n v="237.1"/>
        <n v="21.7"/>
        <n v="360.36"/>
        <n v="60.17"/>
        <n v="223.34"/>
        <n v="39.73"/>
        <n v="163.94"/>
        <n v="963.19"/>
        <n v="125.28"/>
        <n v="298.39"/>
        <n v="79.16"/>
        <n v="101.64"/>
        <n v="1586.43"/>
        <n v="105.72"/>
        <n v="227.29"/>
        <n v="126.75"/>
        <n v="20.84"/>
        <n v="74.12"/>
        <n v="1592.05"/>
        <n v="124.56"/>
        <n v="196.13"/>
        <n v="203.11"/>
        <n v="168.74"/>
        <n v="269.18"/>
        <n v="162.61"/>
        <n v="52.69"/>
        <n v="278.1"/>
        <n v="1473.0"/>
        <n v="1287.98"/>
        <n v="637.22"/>
        <n v="100.24"/>
        <n v="194.5"/>
        <n v="165.71"/>
        <n v="36.75"/>
        <n v="437.64"/>
        <n v="43.45"/>
        <n v="135.7"/>
        <n v="250.2"/>
        <n v="69.87"/>
        <n v="1470.64"/>
        <n v="268.09"/>
        <n v="944.31"/>
        <n v="151.16"/>
        <n v="171.72"/>
        <n v="113.31"/>
        <n v="96.34"/>
        <n v="187.91"/>
        <n v="120.98"/>
        <n v="1513.02"/>
        <n v="405.59"/>
        <n v="32.47"/>
        <n v="437.07"/>
        <n v="66.94"/>
        <n v="142.9"/>
        <n v="29.73"/>
        <n v="250.46"/>
        <n v="418.15"/>
        <n v="89.0"/>
        <n v="83.55"/>
        <n v="184.24"/>
        <n v="44.46"/>
        <n v="157.92"/>
        <n v="222.95"/>
        <n v="238.59"/>
        <n v="442.19"/>
        <n v="346.21"/>
        <n v="192.8"/>
        <n v="257.46"/>
        <n v="220.53"/>
        <n v="59.52"/>
        <n v="349.26"/>
        <n v="164.84"/>
        <n v="161.32"/>
        <n v="41.59"/>
        <n v="94.46"/>
        <n v="342.13"/>
        <n v="134.33"/>
        <n v="715.12"/>
        <n v="69.71"/>
        <n v="380.0"/>
        <n v="265.2"/>
        <n v="245.83"/>
        <n v="53.58"/>
        <n v="281.44"/>
        <n v="189.3"/>
        <n v="199.67"/>
        <n v="257.49"/>
        <m/>
      </sharedItems>
    </cacheField>
    <cacheField name="Profit" numFmtId="0">
      <sharedItems containsString="0" containsBlank="1" containsNumber="1">
        <n v="210.95"/>
        <n v="219.96"/>
        <n v="63.7"/>
        <n v="33.44"/>
        <n v="68.08"/>
        <n v="30.58"/>
        <n v="88.51"/>
        <n v="86.34"/>
        <n v="31.92"/>
        <n v="8.07"/>
        <n v="57.53"/>
        <n v="234.0"/>
        <n v="14.51"/>
        <n v="30.22"/>
        <n v="6.13"/>
        <n v="278.31"/>
        <n v="95.94"/>
        <n v="14.5"/>
        <n v="47.31"/>
        <n v="73.94"/>
        <n v="30.72"/>
        <n v="70.92"/>
        <n v="19.41"/>
        <n v="14.83"/>
        <n v="144.24"/>
        <n v="78.36"/>
        <n v="16.2"/>
        <n v="20.64"/>
        <n v="44.74"/>
        <n v="27.74"/>
        <n v="24.14"/>
        <n v="56.58"/>
        <n v="11.59"/>
        <n v="58.15"/>
        <n v="109.1"/>
        <n v="10.57"/>
        <n v="36.03"/>
        <n v="45.77"/>
        <n v="76.22"/>
        <n v="51.39"/>
        <n v="22.65"/>
        <n v="22.1"/>
        <n v="62.8"/>
        <n v="61.46"/>
        <n v="3.78"/>
        <n v="66.75"/>
        <n v="33.06"/>
        <n v="79.32"/>
        <n v="51.03"/>
        <n v="51.12"/>
        <n v="40.47"/>
        <n v="72.4"/>
        <n v="165.95"/>
        <n v="10.37"/>
        <n v="98.51"/>
        <n v="138.23"/>
        <n v="40.65"/>
        <n v="51.85"/>
        <n v="56.96"/>
        <n v="89.21"/>
        <n v="49.38"/>
        <n v="65.44"/>
        <n v="34.44"/>
        <n v="39.57"/>
        <n v="283.04"/>
        <n v="37.11"/>
        <n v="34.88"/>
        <n v="12.34"/>
        <n v="289.9"/>
        <n v="24.69"/>
        <n v="28.14"/>
        <n v="64.32"/>
        <n v="40.72"/>
        <n v="172.5"/>
        <n v="360.17"/>
        <n v="58.79"/>
        <n v="66.59"/>
        <n v="76.85"/>
        <n v="41.92"/>
        <n v="38.99"/>
        <n v="27.59"/>
        <n v="79.04"/>
        <n v="94.4"/>
        <n v="36.25"/>
        <n v="39.45"/>
        <n v="54.02"/>
        <n v="44.13"/>
        <n v="79.02"/>
        <n v="127.24"/>
        <n v="52.61"/>
        <n v="50.78"/>
        <n v="8.0"/>
        <n v="94.76"/>
        <n v="21.31"/>
        <n v="82.78"/>
        <n v="10.96"/>
        <n v="42.95"/>
        <n v="324.99"/>
        <n v="36.64"/>
        <n v="82.14"/>
        <n v="25.99"/>
        <n v="33.74"/>
        <n v="399.5"/>
        <n v="19.6"/>
        <n v="78.32"/>
        <n v="35.4"/>
        <n v="5.79"/>
        <n v="19.31"/>
        <n v="487.51"/>
        <n v="30.21"/>
        <n v="58.95"/>
        <n v="68.59"/>
        <n v="37.49"/>
        <n v="70.71"/>
        <n v="43.23"/>
        <n v="18.41"/>
        <n v="55.8"/>
        <n v="295.6"/>
        <n v="303.22"/>
        <n v="144.08"/>
        <n v="27.47"/>
        <n v="55.19"/>
        <n v="30.16"/>
        <n v="13.11"/>
        <n v="81.84"/>
        <n v="8.46"/>
        <n v="46.09"/>
        <n v="49.65"/>
        <n v="21.28"/>
        <n v="294.25"/>
        <n v="68.22"/>
        <n v="250.59"/>
        <n v="56.43"/>
        <n v="46.83"/>
        <n v="39.66"/>
        <n v="25.71"/>
        <n v="49.48"/>
        <n v="42.61"/>
        <n v="403.94"/>
        <n v="123.75"/>
        <n v="11.6"/>
        <n v="120.73"/>
        <n v="19.0"/>
        <n v="49.26"/>
        <n v="7.54"/>
        <n v="67.26"/>
        <n v="153.29"/>
        <n v="22.7"/>
        <n v="22.93"/>
        <n v="38.26"/>
        <n v="9.77"/>
        <n v="53.0"/>
        <n v="59.9"/>
        <n v="51.05"/>
        <n v="112.03"/>
        <n v="102.38"/>
        <n v="59.26"/>
        <n v="75.38"/>
        <n v="62.3"/>
        <n v="14.3"/>
        <n v="96.0"/>
        <n v="35.77"/>
        <n v="54.64"/>
        <n v="13.72"/>
        <n v="34.19"/>
        <n v="80.64"/>
        <n v="31.36"/>
        <n v="150.69"/>
        <n v="21.59"/>
        <n v="82.15"/>
        <n v="84.09"/>
        <n v="46.31"/>
        <n v="11.26"/>
        <n v="69.24"/>
        <n v="37.27"/>
        <n v="59.03"/>
        <n v="64.6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 Product" cacheId="0" dataCaption="" compact="0" compactData="0">
  <location ref="A1:B11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rowFields>
    <field x="4"/>
  </rowFields>
  <dataFields>
    <dataField name="SUM of Sales" fld="9" baseField="0"/>
  </dataFields>
</pivotTableDefinition>
</file>

<file path=xl/pivotTables/pivotTable2.xml><?xml version="1.0" encoding="utf-8"?>
<pivotTableDefinition xmlns="http://schemas.openxmlformats.org/spreadsheetml/2006/main" name="Pivot Table 2 Category" cacheId="0" dataCaption="" compact="0" compactData="0">
  <location ref="A1:B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rowFields>
    <field x="5"/>
  </rowFields>
  <dataFields>
    <dataField name="SUM of Sales" fld="9" baseField="0"/>
  </dataFields>
</pivotTableDefinition>
</file>

<file path=xl/pivotTables/pivotTable3.xml><?xml version="1.0" encoding="utf-8"?>
<pivotTableDefinition xmlns="http://schemas.openxmlformats.org/spreadsheetml/2006/main" name="Pivot Table 3 Region" cacheId="0" dataCaption="" compact="0" compactData="0">
  <location ref="A1:B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rowFields>
    <field x="3"/>
  </rowFields>
  <dataFields>
    <dataField name="SUM of Sales" fld="9" baseField="0"/>
  </dataFields>
</pivotTableDefinition>
</file>

<file path=xl/pivotTables/pivotTable4.xml><?xml version="1.0" encoding="utf-8"?>
<pivotTableDefinition xmlns="http://schemas.openxmlformats.org/spreadsheetml/2006/main" name="Pivot Table 4 Profit" cacheId="0" dataCaption="" compact="0" compactData="0">
  <location ref="A1:B11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rowFields>
    <field x="4"/>
  </rowFields>
  <dataFields>
    <dataField name="SUM of Profit" fld="10" baseField="0"/>
  </dataFields>
</pivotTableDefinition>
</file>

<file path=xl/pivotTables/pivotTable5.xml><?xml version="1.0" encoding="utf-8"?>
<pivotTableDefinition xmlns="http://schemas.openxmlformats.org/spreadsheetml/2006/main" name="Pivot Table 5 Customer" cacheId="0" dataCaption="" compact="0" compactData="0">
  <location ref="A1:B61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Custome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rowFields>
    <field x="2"/>
  </rowFields>
  <dataFields>
    <dataField name="SUM of Sales" fld="9" baseField="0"/>
  </dataFields>
</pivotTableDefinition>
</file>

<file path=xl/pivotTables/pivotTable6.xml><?xml version="1.0" encoding="utf-8"?>
<pivotTableDefinition xmlns="http://schemas.openxmlformats.org/spreadsheetml/2006/main" name="Pivot Table 6 Quantity " cacheId="0" dataCaption="" compact="0" compactData="0">
  <location ref="A1:B11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rowFields>
    <field x="4"/>
  </rowFields>
  <dataFields>
    <dataField name="SUM of Quantity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4" max="4" width="21.43"/>
    <col customWidth="1" min="10" max="10" width="20.0"/>
  </cols>
  <sheetData>
    <row r="1">
      <c r="A1" s="11" t="s">
        <v>262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3">
      <c r="A3" s="14" t="s">
        <v>266</v>
      </c>
      <c r="B3" s="13"/>
      <c r="D3" s="14" t="s">
        <v>268</v>
      </c>
      <c r="E3" s="13"/>
      <c r="G3" s="14" t="s">
        <v>269</v>
      </c>
      <c r="H3" s="13"/>
      <c r="J3" s="17" t="s">
        <v>129</v>
      </c>
      <c r="K3" s="13"/>
    </row>
    <row r="4">
      <c r="A4" s="18">
        <f>Analysis!M15</f>
        <v>49437.38</v>
      </c>
      <c r="B4" s="13"/>
      <c r="D4" s="18">
        <f>Analysis!M18</f>
        <v>13119.5</v>
      </c>
      <c r="E4" s="13"/>
      <c r="G4" s="19">
        <f>Analysis!M21</f>
        <v>824</v>
      </c>
      <c r="H4" s="13"/>
      <c r="J4" s="18">
        <f>Analysis!M24</f>
        <v>279.3072316</v>
      </c>
      <c r="K4" s="13"/>
    </row>
  </sheetData>
  <mergeCells count="9">
    <mergeCell ref="J3:K3"/>
    <mergeCell ref="J4:K4"/>
    <mergeCell ref="A1:K1"/>
    <mergeCell ref="A3:B3"/>
    <mergeCell ref="D3:E3"/>
    <mergeCell ref="G3:H3"/>
    <mergeCell ref="A4:B4"/>
    <mergeCell ref="D4:E4"/>
    <mergeCell ref="G4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1.14"/>
    <col customWidth="1" min="3" max="3" width="17.14"/>
    <col customWidth="1" min="4" max="4" width="12.86"/>
    <col customWidth="1" min="5" max="5" width="18.0"/>
    <col customWidth="1" min="6" max="6" width="17.0"/>
    <col customWidth="1" min="7" max="7" width="14.57"/>
    <col customWidth="1" min="8" max="8" width="14.0"/>
    <col customWidth="1" min="9" max="9" width="15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45760.0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4.0</v>
      </c>
      <c r="H2" s="2">
        <v>225.14</v>
      </c>
      <c r="I2" s="2">
        <v>0.1</v>
      </c>
      <c r="J2" s="2">
        <v>810.52</v>
      </c>
      <c r="K2" s="2">
        <v>210.95</v>
      </c>
    </row>
    <row r="3">
      <c r="A3" s="2" t="s">
        <v>17</v>
      </c>
      <c r="B3" s="3">
        <v>45788.0</v>
      </c>
      <c r="C3" s="2" t="s">
        <v>18</v>
      </c>
      <c r="D3" s="2" t="s">
        <v>19</v>
      </c>
      <c r="E3" s="2" t="s">
        <v>14</v>
      </c>
      <c r="F3" s="2" t="s">
        <v>15</v>
      </c>
      <c r="G3" s="2">
        <v>3.0</v>
      </c>
      <c r="H3" s="2">
        <v>208.63</v>
      </c>
      <c r="I3" s="2">
        <v>0.0</v>
      </c>
      <c r="J3" s="2">
        <v>625.89</v>
      </c>
      <c r="K3" s="2">
        <v>219.96</v>
      </c>
      <c r="M3" s="5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2" t="s">
        <v>21</v>
      </c>
      <c r="B4" s="3">
        <v>45934.0</v>
      </c>
      <c r="C4" s="2" t="s">
        <v>22</v>
      </c>
      <c r="D4" s="2" t="s">
        <v>23</v>
      </c>
      <c r="E4" s="4" t="s">
        <v>24</v>
      </c>
      <c r="F4" s="2" t="s">
        <v>25</v>
      </c>
      <c r="G4" s="2">
        <v>8.0</v>
      </c>
      <c r="H4" s="2">
        <v>23.17</v>
      </c>
      <c r="I4" s="2">
        <v>0.0</v>
      </c>
      <c r="J4" s="2">
        <v>185.36</v>
      </c>
      <c r="K4" s="2">
        <v>63.7</v>
      </c>
    </row>
    <row r="5">
      <c r="A5" s="2" t="s">
        <v>27</v>
      </c>
      <c r="B5" s="3">
        <v>45827.0</v>
      </c>
      <c r="C5" s="2" t="s">
        <v>28</v>
      </c>
      <c r="D5" s="2" t="s">
        <v>23</v>
      </c>
      <c r="E5" s="4" t="s">
        <v>24</v>
      </c>
      <c r="F5" s="2" t="s">
        <v>25</v>
      </c>
      <c r="G5" s="2">
        <v>6.0</v>
      </c>
      <c r="H5" s="2">
        <v>20.26</v>
      </c>
      <c r="I5" s="2">
        <v>0.0</v>
      </c>
      <c r="J5" s="2">
        <v>121.59</v>
      </c>
      <c r="K5" s="2">
        <v>33.44</v>
      </c>
    </row>
    <row r="6">
      <c r="A6" s="2" t="s">
        <v>30</v>
      </c>
      <c r="B6" s="3">
        <v>45712.0</v>
      </c>
      <c r="C6" s="2" t="s">
        <v>31</v>
      </c>
      <c r="D6" s="2" t="s">
        <v>23</v>
      </c>
      <c r="E6" s="2" t="s">
        <v>32</v>
      </c>
      <c r="F6" s="2" t="s">
        <v>33</v>
      </c>
      <c r="G6" s="2">
        <v>7.0</v>
      </c>
      <c r="H6" s="2">
        <v>31.78</v>
      </c>
      <c r="I6" s="2">
        <v>0.1</v>
      </c>
      <c r="J6" s="2">
        <v>200.18</v>
      </c>
      <c r="K6" s="2">
        <v>68.08</v>
      </c>
    </row>
    <row r="7">
      <c r="A7" s="2" t="s">
        <v>35</v>
      </c>
      <c r="B7" s="3">
        <v>45931.0</v>
      </c>
      <c r="C7" s="2" t="s">
        <v>36</v>
      </c>
      <c r="D7" s="2" t="s">
        <v>19</v>
      </c>
      <c r="E7" s="2" t="s">
        <v>37</v>
      </c>
      <c r="F7" s="2" t="s">
        <v>25</v>
      </c>
      <c r="G7" s="2">
        <v>3.0</v>
      </c>
      <c r="H7" s="2">
        <v>37.02</v>
      </c>
      <c r="I7" s="2">
        <v>0.05</v>
      </c>
      <c r="J7" s="2">
        <v>105.49</v>
      </c>
      <c r="K7" s="2">
        <v>30.58</v>
      </c>
    </row>
    <row r="8">
      <c r="A8" s="2" t="s">
        <v>38</v>
      </c>
      <c r="B8" s="3">
        <v>45997.0</v>
      </c>
      <c r="C8" s="2" t="s">
        <v>28</v>
      </c>
      <c r="D8" s="2" t="s">
        <v>13</v>
      </c>
      <c r="E8" s="2" t="s">
        <v>39</v>
      </c>
      <c r="F8" s="2" t="s">
        <v>25</v>
      </c>
      <c r="G8" s="2">
        <v>6.0</v>
      </c>
      <c r="H8" s="2">
        <v>40.92</v>
      </c>
      <c r="I8" s="2">
        <v>0.0</v>
      </c>
      <c r="J8" s="2">
        <v>245.55</v>
      </c>
      <c r="K8" s="2">
        <v>88.51</v>
      </c>
    </row>
    <row r="9">
      <c r="A9" s="2" t="s">
        <v>40</v>
      </c>
      <c r="B9" s="3">
        <v>45738.0</v>
      </c>
      <c r="C9" s="2" t="s">
        <v>41</v>
      </c>
      <c r="D9" s="4" t="s">
        <v>60</v>
      </c>
      <c r="E9" s="2" t="s">
        <v>39</v>
      </c>
      <c r="F9" s="2" t="s">
        <v>25</v>
      </c>
      <c r="G9" s="2">
        <v>7.0</v>
      </c>
      <c r="H9" s="2">
        <v>39.69</v>
      </c>
      <c r="I9" s="2">
        <v>0.1</v>
      </c>
      <c r="J9" s="2">
        <v>250.02</v>
      </c>
      <c r="K9" s="2">
        <v>86.34</v>
      </c>
    </row>
    <row r="10">
      <c r="A10" s="2" t="s">
        <v>42</v>
      </c>
      <c r="B10" s="3">
        <v>45967.0</v>
      </c>
      <c r="C10" s="2" t="s">
        <v>43</v>
      </c>
      <c r="D10" s="2" t="s">
        <v>13</v>
      </c>
      <c r="E10" s="2" t="s">
        <v>32</v>
      </c>
      <c r="F10" s="2" t="s">
        <v>33</v>
      </c>
      <c r="G10" s="2">
        <v>4.0</v>
      </c>
      <c r="H10" s="2">
        <v>31.04</v>
      </c>
      <c r="I10" s="2">
        <v>0.05</v>
      </c>
      <c r="J10" s="2">
        <v>117.94</v>
      </c>
      <c r="K10" s="2">
        <v>31.92</v>
      </c>
    </row>
    <row r="11">
      <c r="A11" s="2" t="s">
        <v>44</v>
      </c>
      <c r="B11" s="3">
        <v>46008.0</v>
      </c>
      <c r="C11" s="2" t="s">
        <v>45</v>
      </c>
      <c r="D11" s="2" t="s">
        <v>13</v>
      </c>
      <c r="E11" s="4" t="s">
        <v>24</v>
      </c>
      <c r="F11" s="2" t="s">
        <v>25</v>
      </c>
      <c r="G11" s="2">
        <v>2.0</v>
      </c>
      <c r="H11" s="2">
        <v>21.82</v>
      </c>
      <c r="I11" s="2">
        <v>0.05</v>
      </c>
      <c r="J11" s="2">
        <v>41.46</v>
      </c>
      <c r="K11" s="2">
        <v>8.07</v>
      </c>
    </row>
    <row r="12">
      <c r="A12" s="2" t="s">
        <v>46</v>
      </c>
      <c r="B12" s="3">
        <v>45865.0</v>
      </c>
      <c r="C12" s="2" t="s">
        <v>47</v>
      </c>
      <c r="D12" s="2" t="s">
        <v>48</v>
      </c>
      <c r="E12" s="2" t="s">
        <v>32</v>
      </c>
      <c r="F12" s="2" t="s">
        <v>33</v>
      </c>
      <c r="G12" s="2">
        <v>6.0</v>
      </c>
      <c r="H12" s="2">
        <v>30.44</v>
      </c>
      <c r="I12" s="2">
        <v>0.0</v>
      </c>
      <c r="J12" s="2">
        <v>182.66</v>
      </c>
      <c r="K12" s="2">
        <v>57.53</v>
      </c>
    </row>
    <row r="13">
      <c r="A13" s="2" t="s">
        <v>49</v>
      </c>
      <c r="B13" s="3">
        <v>45698.0</v>
      </c>
      <c r="C13" s="2" t="s">
        <v>43</v>
      </c>
      <c r="D13" s="2" t="s">
        <v>13</v>
      </c>
      <c r="E13" s="2" t="s">
        <v>14</v>
      </c>
      <c r="F13" s="2" t="s">
        <v>15</v>
      </c>
      <c r="G13" s="2">
        <v>5.0</v>
      </c>
      <c r="H13" s="2">
        <v>212.91</v>
      </c>
      <c r="I13" s="2">
        <v>0.15</v>
      </c>
      <c r="J13" s="2">
        <v>904.89</v>
      </c>
      <c r="K13" s="2">
        <v>234.0</v>
      </c>
    </row>
    <row r="14">
      <c r="A14" s="2" t="s">
        <v>51</v>
      </c>
      <c r="B14" s="3">
        <v>45793.0</v>
      </c>
      <c r="C14" s="2" t="s">
        <v>52</v>
      </c>
      <c r="D14" s="2" t="s">
        <v>13</v>
      </c>
      <c r="E14" s="2" t="s">
        <v>53</v>
      </c>
      <c r="F14" s="2" t="s">
        <v>25</v>
      </c>
      <c r="G14" s="2">
        <v>1.0</v>
      </c>
      <c r="H14" s="2">
        <v>50.74</v>
      </c>
      <c r="I14" s="2">
        <v>0.05</v>
      </c>
      <c r="J14" s="2">
        <v>48.2</v>
      </c>
      <c r="K14" s="2">
        <v>14.51</v>
      </c>
    </row>
    <row r="15">
      <c r="A15" s="2" t="s">
        <v>54</v>
      </c>
      <c r="B15" s="3">
        <v>45918.0</v>
      </c>
      <c r="C15" s="2" t="s">
        <v>55</v>
      </c>
      <c r="D15" s="2" t="s">
        <v>13</v>
      </c>
      <c r="E15" s="2" t="s">
        <v>56</v>
      </c>
      <c r="F15" s="2" t="s">
        <v>25</v>
      </c>
      <c r="G15" s="2">
        <v>3.0</v>
      </c>
      <c r="H15" s="2">
        <v>49.59</v>
      </c>
      <c r="I15" s="2">
        <v>0.1</v>
      </c>
      <c r="J15" s="2">
        <v>133.89</v>
      </c>
      <c r="K15" s="2">
        <v>30.22</v>
      </c>
    </row>
    <row r="16">
      <c r="A16" s="2" t="s">
        <v>58</v>
      </c>
      <c r="B16" s="3">
        <v>45690.0</v>
      </c>
      <c r="C16" s="2" t="s">
        <v>45</v>
      </c>
      <c r="D16" s="2" t="s">
        <v>13</v>
      </c>
      <c r="E16" s="4" t="s">
        <v>24</v>
      </c>
      <c r="F16" s="2" t="s">
        <v>25</v>
      </c>
      <c r="G16" s="2">
        <v>1.0</v>
      </c>
      <c r="H16" s="2">
        <v>23.46</v>
      </c>
      <c r="I16" s="2">
        <v>0.1</v>
      </c>
      <c r="J16" s="2">
        <v>21.11</v>
      </c>
      <c r="K16" s="2">
        <v>6.13</v>
      </c>
    </row>
    <row r="17">
      <c r="A17" s="2" t="s">
        <v>59</v>
      </c>
      <c r="B17" s="3">
        <v>45692.0</v>
      </c>
      <c r="C17" s="2" t="s">
        <v>61</v>
      </c>
      <c r="D17" s="2" t="s">
        <v>13</v>
      </c>
      <c r="E17" s="2" t="s">
        <v>14</v>
      </c>
      <c r="F17" s="2" t="s">
        <v>15</v>
      </c>
      <c r="G17" s="2">
        <v>6.0</v>
      </c>
      <c r="H17" s="2">
        <v>204.13</v>
      </c>
      <c r="I17" s="2">
        <v>0.1</v>
      </c>
      <c r="J17" s="2">
        <v>1102.28</v>
      </c>
      <c r="K17" s="2">
        <v>278.31</v>
      </c>
    </row>
    <row r="18">
      <c r="A18" s="2" t="s">
        <v>62</v>
      </c>
      <c r="B18" s="3">
        <v>45912.0</v>
      </c>
      <c r="C18" s="2" t="s">
        <v>64</v>
      </c>
      <c r="D18" s="2" t="s">
        <v>13</v>
      </c>
      <c r="E18" s="2" t="s">
        <v>53</v>
      </c>
      <c r="F18" s="2" t="s">
        <v>25</v>
      </c>
      <c r="G18" s="2">
        <v>7.0</v>
      </c>
      <c r="H18" s="2">
        <v>56.88</v>
      </c>
      <c r="I18" s="2">
        <v>0.1</v>
      </c>
      <c r="J18" s="2">
        <v>358.32</v>
      </c>
      <c r="K18" s="2">
        <v>95.94</v>
      </c>
    </row>
    <row r="19">
      <c r="A19" s="2" t="s">
        <v>65</v>
      </c>
      <c r="B19" s="3">
        <v>45836.0</v>
      </c>
      <c r="C19" s="2" t="s">
        <v>66</v>
      </c>
      <c r="D19" s="2" t="s">
        <v>13</v>
      </c>
      <c r="E19" s="2" t="s">
        <v>56</v>
      </c>
      <c r="F19" s="2" t="s">
        <v>25</v>
      </c>
      <c r="G19" s="2">
        <v>1.0</v>
      </c>
      <c r="H19" s="2">
        <v>49.62</v>
      </c>
      <c r="I19" s="2">
        <v>0.0</v>
      </c>
      <c r="J19" s="2">
        <v>49.62</v>
      </c>
      <c r="K19" s="2">
        <v>14.5</v>
      </c>
    </row>
    <row r="20">
      <c r="A20" s="2" t="s">
        <v>67</v>
      </c>
      <c r="B20" s="3">
        <v>45888.0</v>
      </c>
      <c r="C20" s="2" t="s">
        <v>47</v>
      </c>
      <c r="D20" s="2" t="s">
        <v>13</v>
      </c>
      <c r="E20" s="2" t="s">
        <v>37</v>
      </c>
      <c r="F20" s="2" t="s">
        <v>25</v>
      </c>
      <c r="G20" s="2">
        <v>4.0</v>
      </c>
      <c r="H20" s="2">
        <v>35.35</v>
      </c>
      <c r="I20" s="2">
        <v>0.05</v>
      </c>
      <c r="J20" s="2">
        <v>134.35</v>
      </c>
      <c r="K20" s="2">
        <v>47.31</v>
      </c>
    </row>
    <row r="21" ht="15.75" customHeight="1">
      <c r="A21" s="2" t="s">
        <v>68</v>
      </c>
      <c r="B21" s="3">
        <v>45743.0</v>
      </c>
      <c r="C21" s="2" t="s">
        <v>28</v>
      </c>
      <c r="D21" s="2" t="s">
        <v>48</v>
      </c>
      <c r="E21" s="2" t="s">
        <v>56</v>
      </c>
      <c r="F21" s="2" t="s">
        <v>25</v>
      </c>
      <c r="G21" s="2">
        <v>5.0</v>
      </c>
      <c r="H21" s="2">
        <v>45.92</v>
      </c>
      <c r="I21" s="2">
        <v>0.0</v>
      </c>
      <c r="J21" s="2">
        <v>229.59</v>
      </c>
      <c r="K21" s="2">
        <v>73.94</v>
      </c>
    </row>
    <row r="22" ht="15.75" customHeight="1">
      <c r="A22" s="2" t="s">
        <v>69</v>
      </c>
      <c r="B22" s="3">
        <v>45765.0</v>
      </c>
      <c r="C22" s="2" t="s">
        <v>70</v>
      </c>
      <c r="D22" s="2" t="s">
        <v>23</v>
      </c>
      <c r="E22" s="4" t="s">
        <v>24</v>
      </c>
      <c r="F22" s="2" t="s">
        <v>25</v>
      </c>
      <c r="G22" s="2">
        <v>5.0</v>
      </c>
      <c r="H22" s="2">
        <v>21.28</v>
      </c>
      <c r="I22" s="2">
        <v>0.0</v>
      </c>
      <c r="J22" s="2">
        <v>106.4</v>
      </c>
      <c r="K22" s="2">
        <v>30.72</v>
      </c>
    </row>
    <row r="23" ht="15.75" customHeight="1">
      <c r="A23" s="2" t="s">
        <v>69</v>
      </c>
      <c r="B23" s="3">
        <v>45765.0</v>
      </c>
      <c r="C23" s="2" t="s">
        <v>70</v>
      </c>
      <c r="D23" s="2" t="s">
        <v>23</v>
      </c>
      <c r="E23" s="4" t="s">
        <v>24</v>
      </c>
      <c r="F23" s="2" t="s">
        <v>25</v>
      </c>
      <c r="G23" s="2">
        <v>5.0</v>
      </c>
      <c r="H23" s="2">
        <v>21.28</v>
      </c>
      <c r="I23" s="2">
        <v>0.0</v>
      </c>
      <c r="J23" s="2">
        <v>106.4</v>
      </c>
      <c r="K23" s="2">
        <v>30.72</v>
      </c>
    </row>
    <row r="24" ht="15.75" customHeight="1">
      <c r="A24" s="2" t="s">
        <v>71</v>
      </c>
      <c r="B24" s="3">
        <v>45888.0</v>
      </c>
      <c r="C24" s="2" t="s">
        <v>22</v>
      </c>
      <c r="D24" s="2" t="s">
        <v>19</v>
      </c>
      <c r="E24" s="2" t="s">
        <v>72</v>
      </c>
      <c r="F24" s="2" t="s">
        <v>73</v>
      </c>
      <c r="G24" s="2">
        <v>6.0</v>
      </c>
      <c r="H24" s="2">
        <v>65.41</v>
      </c>
      <c r="I24" s="2">
        <v>0.1</v>
      </c>
      <c r="J24" s="2">
        <v>353.21</v>
      </c>
      <c r="K24" s="2">
        <v>70.92</v>
      </c>
    </row>
    <row r="25" ht="15.75" customHeight="1">
      <c r="A25" s="2" t="s">
        <v>74</v>
      </c>
      <c r="B25" s="3">
        <v>46016.0</v>
      </c>
      <c r="C25" s="2" t="s">
        <v>75</v>
      </c>
      <c r="D25" s="2" t="s">
        <v>23</v>
      </c>
      <c r="E25" s="2" t="s">
        <v>37</v>
      </c>
      <c r="F25" s="2" t="s">
        <v>25</v>
      </c>
      <c r="G25" s="2">
        <v>3.0</v>
      </c>
      <c r="H25" s="2">
        <v>34.59</v>
      </c>
      <c r="I25" s="2">
        <v>0.1</v>
      </c>
      <c r="J25" s="2">
        <v>93.4</v>
      </c>
      <c r="K25" s="2">
        <v>19.41</v>
      </c>
    </row>
    <row r="26" ht="15.75" customHeight="1">
      <c r="A26" s="2" t="s">
        <v>76</v>
      </c>
      <c r="B26" s="3">
        <v>45809.0</v>
      </c>
      <c r="C26" s="2" t="s">
        <v>77</v>
      </c>
      <c r="D26" s="2" t="s">
        <v>13</v>
      </c>
      <c r="E26" s="2" t="s">
        <v>56</v>
      </c>
      <c r="F26" s="2" t="s">
        <v>25</v>
      </c>
      <c r="G26" s="2">
        <v>1.0</v>
      </c>
      <c r="H26" s="2">
        <v>47.88</v>
      </c>
      <c r="I26" s="2">
        <v>0.05</v>
      </c>
      <c r="J26" s="2">
        <v>45.49</v>
      </c>
      <c r="K26" s="2">
        <v>14.83</v>
      </c>
    </row>
    <row r="27" ht="15.75" customHeight="1">
      <c r="A27" s="2" t="s">
        <v>78</v>
      </c>
      <c r="B27" s="3">
        <v>45709.0</v>
      </c>
      <c r="C27" s="2" t="s">
        <v>79</v>
      </c>
      <c r="D27" s="2" t="s">
        <v>48</v>
      </c>
      <c r="E27" s="2" t="s">
        <v>72</v>
      </c>
      <c r="F27" s="2" t="s">
        <v>73</v>
      </c>
      <c r="G27" s="2">
        <v>8.0</v>
      </c>
      <c r="H27" s="2">
        <v>65.2</v>
      </c>
      <c r="I27" s="2">
        <v>0.1</v>
      </c>
      <c r="J27" s="2">
        <v>469.41</v>
      </c>
      <c r="K27" s="2">
        <v>144.24</v>
      </c>
    </row>
    <row r="28" ht="15.75" customHeight="1">
      <c r="A28" s="2" t="s">
        <v>80</v>
      </c>
      <c r="B28" s="3">
        <v>45844.0</v>
      </c>
      <c r="C28" s="2" t="s">
        <v>81</v>
      </c>
      <c r="D28" s="2" t="s">
        <v>48</v>
      </c>
      <c r="E28" s="2" t="s">
        <v>14</v>
      </c>
      <c r="F28" s="2" t="s">
        <v>15</v>
      </c>
      <c r="G28" s="2">
        <v>2.0</v>
      </c>
      <c r="H28" s="2">
        <v>217.13</v>
      </c>
      <c r="I28" s="2">
        <v>0.0</v>
      </c>
      <c r="J28" s="2">
        <v>434.26</v>
      </c>
      <c r="K28" s="2">
        <v>78.36</v>
      </c>
    </row>
    <row r="29" ht="15.75" customHeight="1">
      <c r="A29" s="2" t="s">
        <v>82</v>
      </c>
      <c r="B29" s="3">
        <v>45783.0</v>
      </c>
      <c r="C29" s="2" t="s">
        <v>83</v>
      </c>
      <c r="D29" s="2" t="s">
        <v>19</v>
      </c>
      <c r="E29" s="4" t="s">
        <v>24</v>
      </c>
      <c r="F29" s="2" t="s">
        <v>25</v>
      </c>
      <c r="G29" s="2">
        <v>4.0</v>
      </c>
      <c r="H29" s="2">
        <v>20.42</v>
      </c>
      <c r="I29" s="2">
        <v>0.0</v>
      </c>
      <c r="J29" s="2">
        <v>81.68</v>
      </c>
      <c r="K29" s="2">
        <v>16.2</v>
      </c>
    </row>
    <row r="30" ht="15.75" customHeight="1">
      <c r="A30" s="2" t="s">
        <v>84</v>
      </c>
      <c r="B30" s="3">
        <v>45860.0</v>
      </c>
      <c r="C30" s="2" t="s">
        <v>85</v>
      </c>
      <c r="D30" s="2" t="s">
        <v>13</v>
      </c>
      <c r="E30" s="2" t="s">
        <v>39</v>
      </c>
      <c r="F30" s="2" t="s">
        <v>25</v>
      </c>
      <c r="G30" s="2">
        <v>2.0</v>
      </c>
      <c r="H30" s="2">
        <v>42.03</v>
      </c>
      <c r="I30" s="2">
        <v>0.0</v>
      </c>
      <c r="J30" s="2">
        <v>84.06</v>
      </c>
      <c r="K30" s="2">
        <v>20.64</v>
      </c>
    </row>
    <row r="31" ht="15.75" customHeight="1">
      <c r="A31" s="2" t="s">
        <v>86</v>
      </c>
      <c r="B31" s="3">
        <v>45897.0</v>
      </c>
      <c r="C31" s="2" t="s">
        <v>87</v>
      </c>
      <c r="D31" s="2" t="s">
        <v>19</v>
      </c>
      <c r="E31" s="2" t="s">
        <v>37</v>
      </c>
      <c r="F31" s="2" t="s">
        <v>25</v>
      </c>
      <c r="G31" s="2">
        <v>7.0</v>
      </c>
      <c r="H31" s="2">
        <v>36.7</v>
      </c>
      <c r="I31" s="2">
        <v>0.05</v>
      </c>
      <c r="J31" s="2">
        <v>244.04</v>
      </c>
      <c r="K31" s="2">
        <v>44.74</v>
      </c>
    </row>
    <row r="32" ht="15.75" customHeight="1">
      <c r="A32" s="2" t="s">
        <v>88</v>
      </c>
      <c r="B32" s="3">
        <v>45909.0</v>
      </c>
      <c r="C32" s="2" t="s">
        <v>89</v>
      </c>
      <c r="D32" s="2" t="s">
        <v>23</v>
      </c>
      <c r="E32" s="2" t="s">
        <v>37</v>
      </c>
      <c r="F32" s="2" t="s">
        <v>25</v>
      </c>
      <c r="G32" s="2">
        <v>4.0</v>
      </c>
      <c r="H32" s="2">
        <v>35.05</v>
      </c>
      <c r="I32" s="2">
        <v>0.05</v>
      </c>
      <c r="J32" s="2">
        <v>133.17</v>
      </c>
      <c r="K32" s="2">
        <v>27.74</v>
      </c>
    </row>
    <row r="33" ht="15.75" customHeight="1">
      <c r="A33" s="2" t="s">
        <v>91</v>
      </c>
      <c r="B33" s="3">
        <v>45965.0</v>
      </c>
      <c r="C33" s="2" t="s">
        <v>92</v>
      </c>
      <c r="D33" s="2" t="s">
        <v>19</v>
      </c>
      <c r="E33" s="2" t="s">
        <v>56</v>
      </c>
      <c r="F33" s="2" t="s">
        <v>25</v>
      </c>
      <c r="G33" s="2">
        <v>2.0</v>
      </c>
      <c r="H33" s="2">
        <v>48.09</v>
      </c>
      <c r="I33" s="2">
        <v>0.0</v>
      </c>
      <c r="J33" s="2">
        <v>96.19</v>
      </c>
      <c r="K33" s="2">
        <v>24.14</v>
      </c>
    </row>
    <row r="34" ht="15.75" customHeight="1">
      <c r="A34" s="2" t="s">
        <v>93</v>
      </c>
      <c r="B34" s="3">
        <v>45808.0</v>
      </c>
      <c r="C34" s="2" t="s">
        <v>94</v>
      </c>
      <c r="D34" s="2" t="s">
        <v>48</v>
      </c>
      <c r="E34" s="2" t="s">
        <v>128</v>
      </c>
      <c r="F34" s="2" t="s">
        <v>33</v>
      </c>
      <c r="G34" s="2">
        <v>8.0</v>
      </c>
      <c r="H34" s="2">
        <v>32.09</v>
      </c>
      <c r="I34" s="2">
        <v>0.1</v>
      </c>
      <c r="J34" s="2">
        <v>231.05</v>
      </c>
      <c r="K34" s="2">
        <v>56.58</v>
      </c>
    </row>
    <row r="35" ht="15.75" customHeight="1">
      <c r="A35" s="2" t="s">
        <v>95</v>
      </c>
      <c r="B35" s="3">
        <v>45717.0</v>
      </c>
      <c r="C35" s="2" t="s">
        <v>81</v>
      </c>
      <c r="D35" s="2" t="s">
        <v>48</v>
      </c>
      <c r="E35" s="4" t="s">
        <v>24</v>
      </c>
      <c r="F35" s="2" t="s">
        <v>25</v>
      </c>
      <c r="G35" s="2">
        <v>3.0</v>
      </c>
      <c r="H35" s="2">
        <v>21.04</v>
      </c>
      <c r="I35" s="2">
        <v>0.0</v>
      </c>
      <c r="J35" s="2">
        <v>63.13</v>
      </c>
      <c r="K35" s="2">
        <v>11.59</v>
      </c>
    </row>
    <row r="36" ht="15.75" customHeight="1">
      <c r="A36" s="2" t="s">
        <v>96</v>
      </c>
      <c r="B36" s="3">
        <v>45666.0</v>
      </c>
      <c r="C36" s="2" t="s">
        <v>92</v>
      </c>
      <c r="D36" s="2" t="s">
        <v>13</v>
      </c>
      <c r="E36" s="2" t="s">
        <v>37</v>
      </c>
      <c r="F36" s="2" t="s">
        <v>25</v>
      </c>
      <c r="G36" s="2">
        <v>8.0</v>
      </c>
      <c r="H36" s="2">
        <v>37.61</v>
      </c>
      <c r="I36" s="2">
        <v>0.05</v>
      </c>
      <c r="J36" s="2">
        <v>285.81</v>
      </c>
      <c r="K36" s="2">
        <v>58.15</v>
      </c>
    </row>
    <row r="37" ht="15.75" customHeight="1">
      <c r="A37" s="2" t="s">
        <v>97</v>
      </c>
      <c r="B37" s="3">
        <v>45818.0</v>
      </c>
      <c r="C37" s="2" t="s">
        <v>52</v>
      </c>
      <c r="D37" s="2" t="s">
        <v>23</v>
      </c>
      <c r="E37" s="2" t="s">
        <v>56</v>
      </c>
      <c r="F37" s="2" t="s">
        <v>25</v>
      </c>
      <c r="G37" s="2">
        <v>8.0</v>
      </c>
      <c r="H37" s="2">
        <v>50.66</v>
      </c>
      <c r="I37" s="2">
        <v>0.1</v>
      </c>
      <c r="J37" s="2">
        <v>364.77</v>
      </c>
      <c r="K37" s="2">
        <v>109.1</v>
      </c>
    </row>
    <row r="38" ht="15.75" customHeight="1">
      <c r="A38" s="2" t="s">
        <v>98</v>
      </c>
      <c r="B38" s="3">
        <v>45884.0</v>
      </c>
      <c r="C38" s="2" t="s">
        <v>45</v>
      </c>
      <c r="D38" s="2" t="s">
        <v>48</v>
      </c>
      <c r="E38" s="2" t="s">
        <v>56</v>
      </c>
      <c r="F38" s="2" t="s">
        <v>25</v>
      </c>
      <c r="G38" s="2">
        <v>1.0</v>
      </c>
      <c r="H38" s="2">
        <v>45.4</v>
      </c>
      <c r="I38" s="2">
        <v>0.1</v>
      </c>
      <c r="J38" s="2">
        <v>40.86</v>
      </c>
      <c r="K38" s="2">
        <v>10.57</v>
      </c>
    </row>
    <row r="39" ht="15.75" customHeight="1">
      <c r="A39" s="2" t="s">
        <v>99</v>
      </c>
      <c r="B39" s="3">
        <v>45851.0</v>
      </c>
      <c r="C39" s="2" t="s">
        <v>100</v>
      </c>
      <c r="D39" s="2" t="s">
        <v>13</v>
      </c>
      <c r="E39" s="2" t="s">
        <v>37</v>
      </c>
      <c r="F39" s="2" t="s">
        <v>25</v>
      </c>
      <c r="G39" s="2">
        <v>3.0</v>
      </c>
      <c r="H39" s="2">
        <v>37.65</v>
      </c>
      <c r="I39" s="2">
        <v>0.0</v>
      </c>
      <c r="J39" s="2">
        <v>112.96</v>
      </c>
      <c r="K39" s="2">
        <v>36.03</v>
      </c>
    </row>
    <row r="40" ht="15.75" customHeight="1">
      <c r="A40" s="2" t="s">
        <v>101</v>
      </c>
      <c r="B40" s="3">
        <v>45934.0</v>
      </c>
      <c r="C40" s="2" t="s">
        <v>45</v>
      </c>
      <c r="D40" s="2" t="s">
        <v>23</v>
      </c>
      <c r="E40" s="2" t="s">
        <v>32</v>
      </c>
      <c r="F40" s="2" t="s">
        <v>33</v>
      </c>
      <c r="G40" s="2">
        <v>5.0</v>
      </c>
      <c r="H40" s="2">
        <v>30.59</v>
      </c>
      <c r="I40" s="2">
        <v>0.1</v>
      </c>
      <c r="J40" s="2">
        <v>137.65</v>
      </c>
      <c r="K40" s="2">
        <v>45.77</v>
      </c>
    </row>
    <row r="41" ht="15.75" customHeight="1">
      <c r="A41" s="2" t="s">
        <v>102</v>
      </c>
      <c r="B41" s="3">
        <v>45833.0</v>
      </c>
      <c r="C41" s="2" t="s">
        <v>79</v>
      </c>
      <c r="D41" s="2" t="s">
        <v>13</v>
      </c>
      <c r="E41" s="2" t="s">
        <v>32</v>
      </c>
      <c r="F41" s="2" t="s">
        <v>33</v>
      </c>
      <c r="G41" s="2">
        <v>8.0</v>
      </c>
      <c r="H41" s="2">
        <v>33.25</v>
      </c>
      <c r="I41" s="2">
        <v>0.1</v>
      </c>
      <c r="J41" s="2">
        <v>239.4</v>
      </c>
      <c r="K41" s="2">
        <v>76.22</v>
      </c>
    </row>
    <row r="42" ht="15.75" customHeight="1">
      <c r="A42" s="2" t="s">
        <v>103</v>
      </c>
      <c r="B42" s="3">
        <v>46022.0</v>
      </c>
      <c r="C42" s="2" t="s">
        <v>104</v>
      </c>
      <c r="D42" s="2" t="s">
        <v>48</v>
      </c>
      <c r="E42" s="2" t="s">
        <v>56</v>
      </c>
      <c r="F42" s="2" t="s">
        <v>25</v>
      </c>
      <c r="G42" s="2">
        <v>6.0</v>
      </c>
      <c r="H42" s="2">
        <v>46.2</v>
      </c>
      <c r="I42" s="2">
        <v>0.0</v>
      </c>
      <c r="J42" s="2">
        <v>277.18</v>
      </c>
      <c r="K42" s="2">
        <v>51.39</v>
      </c>
    </row>
    <row r="43" ht="15.75" customHeight="1">
      <c r="A43" s="2" t="s">
        <v>105</v>
      </c>
      <c r="B43" s="3">
        <v>45974.0</v>
      </c>
      <c r="C43" s="2" t="s">
        <v>45</v>
      </c>
      <c r="D43" s="2" t="s">
        <v>13</v>
      </c>
      <c r="E43" s="2" t="s">
        <v>32</v>
      </c>
      <c r="F43" s="2" t="s">
        <v>33</v>
      </c>
      <c r="G43" s="2">
        <v>3.0</v>
      </c>
      <c r="H43" s="2">
        <v>31.66</v>
      </c>
      <c r="I43" s="2">
        <v>0.05</v>
      </c>
      <c r="J43" s="2">
        <v>90.24</v>
      </c>
      <c r="K43" s="2">
        <v>22.65</v>
      </c>
    </row>
    <row r="44" ht="15.75" customHeight="1">
      <c r="A44" s="2" t="s">
        <v>106</v>
      </c>
      <c r="B44" s="3">
        <v>45815.0</v>
      </c>
      <c r="C44" s="2" t="s">
        <v>43</v>
      </c>
      <c r="D44" s="2" t="s">
        <v>48</v>
      </c>
      <c r="E44" s="2" t="s">
        <v>39</v>
      </c>
      <c r="F44" s="2" t="s">
        <v>25</v>
      </c>
      <c r="G44" s="2">
        <v>3.0</v>
      </c>
      <c r="H44" s="2">
        <v>40.68</v>
      </c>
      <c r="I44" s="2">
        <v>0.0</v>
      </c>
      <c r="J44" s="2">
        <v>122.03</v>
      </c>
      <c r="K44" s="2">
        <v>22.1</v>
      </c>
    </row>
    <row r="45" ht="15.75" customHeight="1">
      <c r="A45" s="2" t="s">
        <v>107</v>
      </c>
      <c r="B45" s="3">
        <v>45959.0</v>
      </c>
      <c r="C45" s="2" t="s">
        <v>108</v>
      </c>
      <c r="D45" s="2" t="s">
        <v>13</v>
      </c>
      <c r="E45" s="2" t="s">
        <v>53</v>
      </c>
      <c r="F45" s="2" t="s">
        <v>25</v>
      </c>
      <c r="G45" s="2">
        <v>6.0</v>
      </c>
      <c r="H45" s="2">
        <v>53.86</v>
      </c>
      <c r="I45" s="2">
        <v>0.0</v>
      </c>
      <c r="J45" s="2">
        <v>323.14</v>
      </c>
      <c r="K45" s="2">
        <v>62.8</v>
      </c>
    </row>
    <row r="46" ht="15.75" customHeight="1">
      <c r="A46" s="2" t="s">
        <v>109</v>
      </c>
      <c r="B46" s="3">
        <v>45818.0</v>
      </c>
      <c r="C46" s="2" t="s">
        <v>110</v>
      </c>
      <c r="D46" s="2" t="s">
        <v>23</v>
      </c>
      <c r="E46" s="2" t="s">
        <v>56</v>
      </c>
      <c r="F46" s="2" t="s">
        <v>25</v>
      </c>
      <c r="G46" s="2">
        <v>4.0</v>
      </c>
      <c r="H46" s="2">
        <v>50.71</v>
      </c>
      <c r="I46" s="2">
        <v>0.0</v>
      </c>
      <c r="J46" s="2">
        <v>202.84</v>
      </c>
      <c r="K46" s="2">
        <v>61.46</v>
      </c>
    </row>
    <row r="47" ht="15.75" customHeight="1">
      <c r="A47" s="2" t="s">
        <v>111</v>
      </c>
      <c r="B47" s="3">
        <v>45831.0</v>
      </c>
      <c r="C47" s="2" t="s">
        <v>52</v>
      </c>
      <c r="D47" s="2" t="s">
        <v>48</v>
      </c>
      <c r="E47" s="4" t="s">
        <v>24</v>
      </c>
      <c r="F47" s="2" t="s">
        <v>25</v>
      </c>
      <c r="G47" s="2">
        <v>1.0</v>
      </c>
      <c r="H47" s="2">
        <v>21.63</v>
      </c>
      <c r="I47" s="2">
        <v>0.1</v>
      </c>
      <c r="J47" s="2">
        <v>19.47</v>
      </c>
      <c r="K47" s="2">
        <v>3.78</v>
      </c>
    </row>
    <row r="48" ht="15.75" customHeight="1">
      <c r="A48" s="2" t="s">
        <v>113</v>
      </c>
      <c r="B48" s="3">
        <v>45930.0</v>
      </c>
      <c r="C48" s="2" t="s">
        <v>114</v>
      </c>
      <c r="D48" s="2" t="s">
        <v>19</v>
      </c>
      <c r="E48" s="2" t="s">
        <v>32</v>
      </c>
      <c r="F48" s="2" t="s">
        <v>33</v>
      </c>
      <c r="G48" s="2">
        <v>7.0</v>
      </c>
      <c r="H48" s="2">
        <v>34.51</v>
      </c>
      <c r="I48" s="2">
        <v>0.0</v>
      </c>
      <c r="J48" s="2">
        <v>241.56</v>
      </c>
      <c r="K48" s="2">
        <v>66.75</v>
      </c>
    </row>
    <row r="49" ht="15.75" customHeight="1">
      <c r="A49" s="2" t="s">
        <v>115</v>
      </c>
      <c r="B49" s="3">
        <v>45683.0</v>
      </c>
      <c r="C49" s="2" t="s">
        <v>116</v>
      </c>
      <c r="D49" s="2" t="s">
        <v>48</v>
      </c>
      <c r="E49" s="2" t="s">
        <v>37</v>
      </c>
      <c r="F49" s="2" t="s">
        <v>25</v>
      </c>
      <c r="G49" s="2">
        <v>3.0</v>
      </c>
      <c r="H49" s="2">
        <v>36.17</v>
      </c>
      <c r="I49" s="2">
        <v>0.05</v>
      </c>
      <c r="J49" s="2">
        <v>103.08</v>
      </c>
      <c r="K49" s="2">
        <v>33.06</v>
      </c>
    </row>
    <row r="50" ht="15.75" customHeight="1">
      <c r="A50" s="2" t="s">
        <v>117</v>
      </c>
      <c r="B50" s="3">
        <v>45830.0</v>
      </c>
      <c r="C50" s="2" t="s">
        <v>118</v>
      </c>
      <c r="D50" s="2" t="s">
        <v>19</v>
      </c>
      <c r="E50" s="2" t="s">
        <v>37</v>
      </c>
      <c r="F50" s="2" t="s">
        <v>25</v>
      </c>
      <c r="G50" s="2">
        <v>8.0</v>
      </c>
      <c r="H50" s="2">
        <v>37.31</v>
      </c>
      <c r="I50" s="2">
        <v>0.05</v>
      </c>
      <c r="J50" s="2">
        <v>283.59</v>
      </c>
      <c r="K50" s="2">
        <v>79.32</v>
      </c>
    </row>
    <row r="51" ht="15.75" customHeight="1">
      <c r="A51" s="2" t="s">
        <v>119</v>
      </c>
      <c r="B51" s="3">
        <v>45800.0</v>
      </c>
      <c r="C51" s="2" t="s">
        <v>28</v>
      </c>
      <c r="D51" s="2" t="s">
        <v>48</v>
      </c>
      <c r="E51" s="2" t="s">
        <v>32</v>
      </c>
      <c r="F51" s="2" t="s">
        <v>33</v>
      </c>
      <c r="G51" s="2">
        <v>8.0</v>
      </c>
      <c r="H51" s="2">
        <v>31.47</v>
      </c>
      <c r="I51" s="2">
        <v>0.0</v>
      </c>
      <c r="J51" s="2">
        <v>251.77</v>
      </c>
      <c r="K51" s="2">
        <v>51.03</v>
      </c>
    </row>
    <row r="52" ht="15.75" customHeight="1">
      <c r="A52" s="2" t="s">
        <v>121</v>
      </c>
      <c r="B52" s="3">
        <v>45720.0</v>
      </c>
      <c r="C52" s="2" t="s">
        <v>18</v>
      </c>
      <c r="D52" s="2" t="s">
        <v>48</v>
      </c>
      <c r="E52" s="4" t="s">
        <v>24</v>
      </c>
      <c r="F52" s="2" t="s">
        <v>25</v>
      </c>
      <c r="G52" s="2">
        <v>8.0</v>
      </c>
      <c r="H52" s="2">
        <v>22.28</v>
      </c>
      <c r="I52" s="2">
        <v>0.0</v>
      </c>
      <c r="J52" s="2">
        <v>178.2</v>
      </c>
      <c r="K52" s="2">
        <v>51.12</v>
      </c>
    </row>
    <row r="53" ht="15.75" customHeight="1">
      <c r="A53" s="2" t="s">
        <v>122</v>
      </c>
      <c r="B53" s="3">
        <v>45758.0</v>
      </c>
      <c r="C53" s="2" t="s">
        <v>22</v>
      </c>
      <c r="D53" s="2" t="s">
        <v>23</v>
      </c>
      <c r="E53" s="4" t="s">
        <v>24</v>
      </c>
      <c r="F53" s="2" t="s">
        <v>25</v>
      </c>
      <c r="G53" s="2">
        <v>6.0</v>
      </c>
      <c r="H53" s="2">
        <v>21.12</v>
      </c>
      <c r="I53" s="2">
        <v>0.0</v>
      </c>
      <c r="J53" s="2">
        <v>126.73</v>
      </c>
      <c r="K53" s="2">
        <v>40.47</v>
      </c>
    </row>
    <row r="54" ht="15.75" customHeight="1">
      <c r="A54" s="2" t="s">
        <v>123</v>
      </c>
      <c r="B54" s="3">
        <v>46022.0</v>
      </c>
      <c r="C54" s="2" t="s">
        <v>66</v>
      </c>
      <c r="D54" s="2" t="s">
        <v>23</v>
      </c>
      <c r="E54" s="2" t="s">
        <v>53</v>
      </c>
      <c r="F54" s="2" t="s">
        <v>25</v>
      </c>
      <c r="G54" s="2">
        <v>4.0</v>
      </c>
      <c r="H54" s="2">
        <v>52.5</v>
      </c>
      <c r="I54" s="2">
        <v>0.05</v>
      </c>
      <c r="J54" s="2">
        <v>199.5</v>
      </c>
      <c r="K54" s="2">
        <v>72.4</v>
      </c>
    </row>
    <row r="55" ht="15.75" customHeight="1">
      <c r="A55" s="2" t="s">
        <v>124</v>
      </c>
      <c r="B55" s="3">
        <v>45781.0</v>
      </c>
      <c r="C55" s="2" t="s">
        <v>55</v>
      </c>
      <c r="D55" s="2" t="s">
        <v>48</v>
      </c>
      <c r="E55" s="2" t="s">
        <v>72</v>
      </c>
      <c r="F55" s="2" t="s">
        <v>73</v>
      </c>
      <c r="G55" s="2">
        <v>7.0</v>
      </c>
      <c r="H55" s="2">
        <v>67.07</v>
      </c>
      <c r="I55" s="2">
        <v>0.0</v>
      </c>
      <c r="J55" s="2">
        <v>469.52</v>
      </c>
      <c r="K55" s="2">
        <v>165.95</v>
      </c>
    </row>
    <row r="56" ht="15.75" customHeight="1">
      <c r="A56" s="2" t="s">
        <v>125</v>
      </c>
      <c r="B56" s="3">
        <v>46003.0</v>
      </c>
      <c r="C56" s="2" t="s">
        <v>126</v>
      </c>
      <c r="D56" s="2" t="s">
        <v>48</v>
      </c>
      <c r="E56" s="2" t="s">
        <v>56</v>
      </c>
      <c r="F56" s="2" t="s">
        <v>25</v>
      </c>
      <c r="G56" s="2">
        <v>1.0</v>
      </c>
      <c r="H56" s="2">
        <v>47.22</v>
      </c>
      <c r="I56" s="2">
        <v>0.05</v>
      </c>
      <c r="J56" s="2">
        <v>44.86</v>
      </c>
      <c r="K56" s="2">
        <v>10.37</v>
      </c>
    </row>
    <row r="57" ht="15.75" customHeight="1">
      <c r="A57" s="2" t="s">
        <v>127</v>
      </c>
      <c r="B57" s="3">
        <v>45715.0</v>
      </c>
      <c r="C57" s="2" t="s">
        <v>169</v>
      </c>
      <c r="D57" s="2" t="s">
        <v>19</v>
      </c>
      <c r="E57" s="2" t="s">
        <v>53</v>
      </c>
      <c r="F57" s="2" t="s">
        <v>25</v>
      </c>
      <c r="G57" s="2">
        <v>6.0</v>
      </c>
      <c r="H57" s="2">
        <v>57.96</v>
      </c>
      <c r="I57" s="2">
        <v>0.05</v>
      </c>
      <c r="J57" s="2">
        <v>330.35</v>
      </c>
      <c r="K57" s="2">
        <v>98.51</v>
      </c>
    </row>
    <row r="58" ht="15.75" customHeight="1">
      <c r="A58" s="2" t="s">
        <v>130</v>
      </c>
      <c r="B58" s="3">
        <v>45894.0</v>
      </c>
      <c r="C58" s="2" t="s">
        <v>108</v>
      </c>
      <c r="D58" s="2" t="s">
        <v>19</v>
      </c>
      <c r="E58" s="2" t="s">
        <v>14</v>
      </c>
      <c r="F58" s="2" t="s">
        <v>15</v>
      </c>
      <c r="G58" s="2">
        <v>2.0</v>
      </c>
      <c r="H58" s="2">
        <v>201.26</v>
      </c>
      <c r="I58" s="2">
        <v>0.0</v>
      </c>
      <c r="J58" s="2">
        <v>402.51</v>
      </c>
      <c r="K58" s="2">
        <v>138.23</v>
      </c>
    </row>
    <row r="59" ht="15.75" customHeight="1">
      <c r="A59" s="2" t="s">
        <v>131</v>
      </c>
      <c r="B59" s="3">
        <v>45904.0</v>
      </c>
      <c r="C59" s="2" t="s">
        <v>110</v>
      </c>
      <c r="D59" s="2" t="s">
        <v>23</v>
      </c>
      <c r="E59" s="2" t="s">
        <v>32</v>
      </c>
      <c r="F59" s="2" t="s">
        <v>33</v>
      </c>
      <c r="G59" s="2">
        <v>5.0</v>
      </c>
      <c r="H59" s="2">
        <v>33.22</v>
      </c>
      <c r="I59" s="2">
        <v>0.05</v>
      </c>
      <c r="J59" s="2">
        <v>157.79</v>
      </c>
      <c r="K59" s="2">
        <v>40.65</v>
      </c>
    </row>
    <row r="60" ht="15.75" customHeight="1">
      <c r="A60" s="2" t="s">
        <v>132</v>
      </c>
      <c r="B60" s="3">
        <v>45877.0</v>
      </c>
      <c r="C60" s="2" t="s">
        <v>133</v>
      </c>
      <c r="D60" s="2" t="s">
        <v>13</v>
      </c>
      <c r="E60" s="4" t="s">
        <v>24</v>
      </c>
      <c r="F60" s="2" t="s">
        <v>25</v>
      </c>
      <c r="G60" s="2">
        <v>8.0</v>
      </c>
      <c r="H60" s="2">
        <v>20.8</v>
      </c>
      <c r="I60" s="2">
        <v>0.0</v>
      </c>
      <c r="J60" s="2">
        <v>166.39</v>
      </c>
      <c r="K60" s="2">
        <v>51.85</v>
      </c>
    </row>
    <row r="61" ht="15.75" customHeight="1">
      <c r="A61" s="2" t="s">
        <v>134</v>
      </c>
      <c r="B61" s="3">
        <v>45875.0</v>
      </c>
      <c r="C61" s="2" t="s">
        <v>135</v>
      </c>
      <c r="D61" s="2" t="s">
        <v>23</v>
      </c>
      <c r="E61" s="2" t="s">
        <v>37</v>
      </c>
      <c r="F61" s="2" t="s">
        <v>25</v>
      </c>
      <c r="G61" s="2">
        <v>6.0</v>
      </c>
      <c r="H61" s="2">
        <v>36.99</v>
      </c>
      <c r="I61" s="2">
        <v>0.1</v>
      </c>
      <c r="J61" s="2">
        <v>199.75</v>
      </c>
      <c r="K61" s="2">
        <v>56.96</v>
      </c>
    </row>
    <row r="62" ht="15.75" customHeight="1">
      <c r="A62" s="2" t="s">
        <v>136</v>
      </c>
      <c r="B62" s="3">
        <v>45907.0</v>
      </c>
      <c r="C62" s="2" t="s">
        <v>137</v>
      </c>
      <c r="D62" s="2" t="s">
        <v>48</v>
      </c>
      <c r="E62" s="2" t="s">
        <v>53</v>
      </c>
      <c r="F62" s="2" t="s">
        <v>25</v>
      </c>
      <c r="G62" s="2">
        <v>7.0</v>
      </c>
      <c r="H62" s="2">
        <v>53.65</v>
      </c>
      <c r="I62" s="2">
        <v>0.05</v>
      </c>
      <c r="J62" s="2">
        <v>356.76</v>
      </c>
      <c r="K62" s="2">
        <v>89.21</v>
      </c>
    </row>
    <row r="63" ht="15.75" customHeight="1">
      <c r="A63" s="2" t="s">
        <v>138</v>
      </c>
      <c r="B63" s="3">
        <v>45753.0</v>
      </c>
      <c r="C63" s="2" t="s">
        <v>61</v>
      </c>
      <c r="D63" s="2" t="s">
        <v>23</v>
      </c>
      <c r="E63" s="2" t="s">
        <v>53</v>
      </c>
      <c r="F63" s="2" t="s">
        <v>25</v>
      </c>
      <c r="G63" s="2">
        <v>4.0</v>
      </c>
      <c r="H63" s="2">
        <v>51.0</v>
      </c>
      <c r="I63" s="2">
        <v>0.05</v>
      </c>
      <c r="J63" s="2">
        <v>193.79</v>
      </c>
      <c r="K63" s="2">
        <v>49.38</v>
      </c>
    </row>
    <row r="64" ht="15.75" customHeight="1">
      <c r="A64" s="2" t="s">
        <v>139</v>
      </c>
      <c r="B64" s="3">
        <v>45817.0</v>
      </c>
      <c r="C64" s="2" t="s">
        <v>140</v>
      </c>
      <c r="D64" s="2" t="s">
        <v>23</v>
      </c>
      <c r="E64" s="2" t="s">
        <v>53</v>
      </c>
      <c r="F64" s="2" t="s">
        <v>25</v>
      </c>
      <c r="G64" s="2">
        <v>5.0</v>
      </c>
      <c r="H64" s="2">
        <v>52.03</v>
      </c>
      <c r="I64" s="2">
        <v>0.0</v>
      </c>
      <c r="J64" s="2">
        <v>260.17</v>
      </c>
      <c r="K64" s="2">
        <v>65.44</v>
      </c>
    </row>
    <row r="65" ht="15.75" customHeight="1">
      <c r="A65" s="2" t="s">
        <v>141</v>
      </c>
      <c r="B65" s="3">
        <v>45836.0</v>
      </c>
      <c r="C65" s="2" t="s">
        <v>142</v>
      </c>
      <c r="D65" s="2" t="s">
        <v>19</v>
      </c>
      <c r="E65" s="2" t="s">
        <v>32</v>
      </c>
      <c r="F65" s="2" t="s">
        <v>33</v>
      </c>
      <c r="G65" s="2">
        <v>4.0</v>
      </c>
      <c r="H65" s="2">
        <v>31.43</v>
      </c>
      <c r="I65" s="2">
        <v>0.05</v>
      </c>
      <c r="J65" s="2">
        <v>119.42</v>
      </c>
      <c r="K65" s="2">
        <v>34.44</v>
      </c>
    </row>
    <row r="66" ht="15.75" customHeight="1">
      <c r="A66" s="2" t="s">
        <v>143</v>
      </c>
      <c r="B66" s="3">
        <v>45942.0</v>
      </c>
      <c r="C66" s="2" t="s">
        <v>145</v>
      </c>
      <c r="D66" s="2" t="s">
        <v>23</v>
      </c>
      <c r="E66" s="2" t="s">
        <v>39</v>
      </c>
      <c r="F66" s="2" t="s">
        <v>25</v>
      </c>
      <c r="G66" s="2">
        <v>3.0</v>
      </c>
      <c r="H66" s="2">
        <v>41.0</v>
      </c>
      <c r="I66" s="2">
        <v>0.05</v>
      </c>
      <c r="J66" s="2">
        <v>116.85</v>
      </c>
      <c r="K66" s="2">
        <v>39.57</v>
      </c>
    </row>
    <row r="67" ht="15.75" customHeight="1">
      <c r="A67" s="2" t="s">
        <v>146</v>
      </c>
      <c r="B67" s="3">
        <v>45994.0</v>
      </c>
      <c r="C67" s="2" t="s">
        <v>135</v>
      </c>
      <c r="D67" s="2" t="s">
        <v>23</v>
      </c>
      <c r="E67" s="2" t="s">
        <v>14</v>
      </c>
      <c r="F67" s="2" t="s">
        <v>15</v>
      </c>
      <c r="G67" s="2">
        <v>6.0</v>
      </c>
      <c r="H67" s="2">
        <v>193.81</v>
      </c>
      <c r="I67" s="2">
        <v>0.0</v>
      </c>
      <c r="J67" s="2">
        <v>1162.87</v>
      </c>
      <c r="K67" s="2">
        <v>283.04</v>
      </c>
    </row>
    <row r="68" ht="15.75" customHeight="1">
      <c r="A68" s="2" t="s">
        <v>147</v>
      </c>
      <c r="B68" s="3">
        <v>45853.0</v>
      </c>
      <c r="C68" s="2" t="s">
        <v>12</v>
      </c>
      <c r="D68" s="2" t="s">
        <v>19</v>
      </c>
      <c r="E68" s="2" t="s">
        <v>53</v>
      </c>
      <c r="F68" s="2" t="s">
        <v>25</v>
      </c>
      <c r="G68" s="2">
        <v>2.0</v>
      </c>
      <c r="H68" s="2">
        <v>56.6</v>
      </c>
      <c r="I68" s="2">
        <v>0.0</v>
      </c>
      <c r="J68" s="2">
        <v>113.2</v>
      </c>
      <c r="K68" s="2">
        <v>37.11</v>
      </c>
    </row>
    <row r="69" ht="15.75" customHeight="1">
      <c r="A69" s="2" t="s">
        <v>148</v>
      </c>
      <c r="B69" s="3">
        <v>45906.0</v>
      </c>
      <c r="C69" s="2" t="s">
        <v>41</v>
      </c>
      <c r="D69" s="2" t="s">
        <v>48</v>
      </c>
      <c r="E69" s="4" t="s">
        <v>24</v>
      </c>
      <c r="F69" s="2" t="s">
        <v>25</v>
      </c>
      <c r="G69" s="2">
        <v>5.0</v>
      </c>
      <c r="H69" s="2">
        <v>23.54</v>
      </c>
      <c r="I69" s="2">
        <v>0.0</v>
      </c>
      <c r="J69" s="2">
        <v>117.69</v>
      </c>
      <c r="K69" s="2">
        <v>34.88</v>
      </c>
    </row>
    <row r="70" ht="15.75" customHeight="1">
      <c r="A70" s="2" t="s">
        <v>149</v>
      </c>
      <c r="B70" s="3">
        <v>45693.0</v>
      </c>
      <c r="C70" s="2" t="s">
        <v>150</v>
      </c>
      <c r="D70" s="2" t="s">
        <v>19</v>
      </c>
      <c r="E70" s="2" t="s">
        <v>53</v>
      </c>
      <c r="F70" s="2" t="s">
        <v>25</v>
      </c>
      <c r="G70" s="2">
        <v>1.0</v>
      </c>
      <c r="H70" s="2">
        <v>55.6</v>
      </c>
      <c r="I70" s="2">
        <v>0.05</v>
      </c>
      <c r="J70" s="2">
        <v>52.82</v>
      </c>
      <c r="K70" s="2">
        <v>12.34</v>
      </c>
    </row>
    <row r="71" ht="15.75" customHeight="1">
      <c r="A71" s="2" t="s">
        <v>151</v>
      </c>
      <c r="B71" s="3">
        <v>45840.0</v>
      </c>
      <c r="C71" s="2" t="s">
        <v>145</v>
      </c>
      <c r="D71" s="2" t="s">
        <v>13</v>
      </c>
      <c r="E71" s="2" t="s">
        <v>14</v>
      </c>
      <c r="F71" s="2" t="s">
        <v>15</v>
      </c>
      <c r="G71" s="2">
        <v>8.0</v>
      </c>
      <c r="H71" s="2">
        <v>204.65</v>
      </c>
      <c r="I71" s="2">
        <v>0.15</v>
      </c>
      <c r="J71" s="2">
        <v>1391.63</v>
      </c>
      <c r="K71" s="2">
        <v>289.9</v>
      </c>
    </row>
    <row r="72" ht="15.75" customHeight="1">
      <c r="A72" s="2" t="s">
        <v>152</v>
      </c>
      <c r="B72" s="3">
        <v>45874.0</v>
      </c>
      <c r="C72" s="2" t="s">
        <v>18</v>
      </c>
      <c r="D72" s="2" t="s">
        <v>19</v>
      </c>
      <c r="E72" s="2" t="s">
        <v>37</v>
      </c>
      <c r="F72" s="2" t="s">
        <v>25</v>
      </c>
      <c r="G72" s="2">
        <v>3.0</v>
      </c>
      <c r="H72" s="2">
        <v>32.78</v>
      </c>
      <c r="I72" s="2">
        <v>0.1</v>
      </c>
      <c r="J72" s="2">
        <v>88.5</v>
      </c>
      <c r="K72" s="2">
        <v>24.69</v>
      </c>
    </row>
    <row r="73" ht="15.75" customHeight="1">
      <c r="A73" s="2" t="s">
        <v>153</v>
      </c>
      <c r="B73" s="3">
        <v>45733.0</v>
      </c>
      <c r="C73" s="2" t="s">
        <v>154</v>
      </c>
      <c r="D73" s="2" t="s">
        <v>13</v>
      </c>
      <c r="E73" s="2" t="s">
        <v>56</v>
      </c>
      <c r="F73" s="2" t="s">
        <v>25</v>
      </c>
      <c r="G73" s="2">
        <v>3.0</v>
      </c>
      <c r="H73" s="2">
        <v>47.15</v>
      </c>
      <c r="I73" s="2">
        <v>0.0</v>
      </c>
      <c r="J73" s="2">
        <v>141.45</v>
      </c>
      <c r="K73" s="2">
        <v>28.14</v>
      </c>
    </row>
    <row r="74" ht="15.75" customHeight="1">
      <c r="A74" s="2" t="s">
        <v>155</v>
      </c>
      <c r="B74" s="3">
        <v>45801.0</v>
      </c>
      <c r="C74" s="2" t="s">
        <v>108</v>
      </c>
      <c r="D74" s="2" t="s">
        <v>19</v>
      </c>
      <c r="E74" s="2" t="s">
        <v>39</v>
      </c>
      <c r="F74" s="2" t="s">
        <v>25</v>
      </c>
      <c r="G74" s="2">
        <v>6.0</v>
      </c>
      <c r="H74" s="2">
        <v>40.1</v>
      </c>
      <c r="I74" s="2">
        <v>0.05</v>
      </c>
      <c r="J74" s="2">
        <v>228.59</v>
      </c>
      <c r="K74" s="2">
        <v>64.32</v>
      </c>
    </row>
    <row r="75" ht="15.75" customHeight="1">
      <c r="A75" s="2" t="s">
        <v>156</v>
      </c>
      <c r="B75" s="3">
        <v>45808.0</v>
      </c>
      <c r="C75" s="2" t="s">
        <v>87</v>
      </c>
      <c r="D75" s="2" t="s">
        <v>19</v>
      </c>
      <c r="E75" s="2" t="s">
        <v>56</v>
      </c>
      <c r="F75" s="2" t="s">
        <v>25</v>
      </c>
      <c r="G75" s="2">
        <v>4.0</v>
      </c>
      <c r="H75" s="2">
        <v>46.68</v>
      </c>
      <c r="I75" s="2">
        <v>0.05</v>
      </c>
      <c r="J75" s="2">
        <v>177.4</v>
      </c>
      <c r="K75" s="2">
        <v>40.72</v>
      </c>
    </row>
    <row r="76" ht="15.75" customHeight="1">
      <c r="A76" s="2" t="s">
        <v>157</v>
      </c>
      <c r="B76" s="3">
        <v>45779.0</v>
      </c>
      <c r="C76" s="2" t="s">
        <v>133</v>
      </c>
      <c r="D76" s="2" t="s">
        <v>13</v>
      </c>
      <c r="E76" s="2" t="s">
        <v>14</v>
      </c>
      <c r="F76" s="2" t="s">
        <v>15</v>
      </c>
      <c r="G76" s="2">
        <v>5.0</v>
      </c>
      <c r="H76" s="2">
        <v>224.48</v>
      </c>
      <c r="I76" s="2">
        <v>0.15</v>
      </c>
      <c r="J76" s="2">
        <v>954.04</v>
      </c>
      <c r="K76" s="2">
        <v>172.5</v>
      </c>
    </row>
    <row r="77" ht="15.75" customHeight="1">
      <c r="A77" s="2" t="s">
        <v>158</v>
      </c>
      <c r="B77" s="3">
        <v>45731.0</v>
      </c>
      <c r="C77" s="2" t="s">
        <v>12</v>
      </c>
      <c r="D77" s="2" t="s">
        <v>23</v>
      </c>
      <c r="E77" s="2" t="s">
        <v>14</v>
      </c>
      <c r="F77" s="2" t="s">
        <v>15</v>
      </c>
      <c r="G77" s="2">
        <v>5.0</v>
      </c>
      <c r="H77" s="2">
        <v>204.99</v>
      </c>
      <c r="I77" s="2">
        <v>0.0</v>
      </c>
      <c r="J77" s="2">
        <v>1024.95</v>
      </c>
      <c r="K77" s="2">
        <v>360.17</v>
      </c>
    </row>
    <row r="78" ht="15.75" customHeight="1">
      <c r="A78" s="2" t="s">
        <v>159</v>
      </c>
      <c r="B78" s="3">
        <v>45940.0</v>
      </c>
      <c r="C78" s="2" t="s">
        <v>12</v>
      </c>
      <c r="D78" s="2" t="s">
        <v>48</v>
      </c>
      <c r="E78" s="2" t="s">
        <v>37</v>
      </c>
      <c r="F78" s="2" t="s">
        <v>25</v>
      </c>
      <c r="G78" s="2">
        <v>5.0</v>
      </c>
      <c r="H78" s="2">
        <v>36.9</v>
      </c>
      <c r="I78" s="2">
        <v>0.05</v>
      </c>
      <c r="J78" s="2">
        <v>175.25</v>
      </c>
      <c r="K78" s="2">
        <v>58.79</v>
      </c>
    </row>
    <row r="79" ht="15.75" customHeight="1">
      <c r="A79" s="2" t="s">
        <v>160</v>
      </c>
      <c r="B79" s="3">
        <v>45978.0</v>
      </c>
      <c r="C79" s="2" t="s">
        <v>18</v>
      </c>
      <c r="D79" s="2" t="s">
        <v>23</v>
      </c>
      <c r="E79" s="2" t="s">
        <v>53</v>
      </c>
      <c r="F79" s="2" t="s">
        <v>25</v>
      </c>
      <c r="G79" s="2">
        <v>5.0</v>
      </c>
      <c r="H79" s="2">
        <v>51.35</v>
      </c>
      <c r="I79" s="2">
        <v>0.15</v>
      </c>
      <c r="J79" s="2">
        <v>218.22</v>
      </c>
      <c r="K79" s="2">
        <v>66.59</v>
      </c>
    </row>
    <row r="80" ht="15.75" customHeight="1">
      <c r="A80" s="2" t="s">
        <v>161</v>
      </c>
      <c r="B80" s="3">
        <v>45909.0</v>
      </c>
      <c r="C80" s="2" t="s">
        <v>94</v>
      </c>
      <c r="D80" s="2" t="s">
        <v>13</v>
      </c>
      <c r="E80" s="2" t="s">
        <v>37</v>
      </c>
      <c r="F80" s="2" t="s">
        <v>25</v>
      </c>
      <c r="G80" s="2">
        <v>7.0</v>
      </c>
      <c r="H80" s="2">
        <v>37.28</v>
      </c>
      <c r="I80" s="2">
        <v>0.05</v>
      </c>
      <c r="J80" s="2">
        <v>247.93</v>
      </c>
      <c r="K80" s="2">
        <v>76.85</v>
      </c>
    </row>
    <row r="81" ht="15.75" customHeight="1">
      <c r="A81" s="2" t="s">
        <v>162</v>
      </c>
      <c r="B81" s="3">
        <v>45696.0</v>
      </c>
      <c r="C81" s="2" t="s">
        <v>110</v>
      </c>
      <c r="D81" s="2" t="s">
        <v>19</v>
      </c>
      <c r="E81" s="2" t="s">
        <v>53</v>
      </c>
      <c r="F81" s="2" t="s">
        <v>25</v>
      </c>
      <c r="G81" s="2">
        <v>4.0</v>
      </c>
      <c r="H81" s="2">
        <v>55.51</v>
      </c>
      <c r="I81" s="2">
        <v>0.05</v>
      </c>
      <c r="J81" s="2">
        <v>210.95</v>
      </c>
      <c r="K81" s="2">
        <v>41.92</v>
      </c>
    </row>
    <row r="82" ht="15.75" customHeight="1">
      <c r="A82" s="2" t="s">
        <v>163</v>
      </c>
      <c r="B82" s="3">
        <v>45974.0</v>
      </c>
      <c r="C82" s="2" t="s">
        <v>92</v>
      </c>
      <c r="D82" s="2" t="s">
        <v>13</v>
      </c>
      <c r="E82" s="2" t="s">
        <v>53</v>
      </c>
      <c r="F82" s="2" t="s">
        <v>25</v>
      </c>
      <c r="G82" s="2">
        <v>2.0</v>
      </c>
      <c r="H82" s="2">
        <v>54.72</v>
      </c>
      <c r="I82" s="2">
        <v>0.0</v>
      </c>
      <c r="J82" s="2">
        <v>109.45</v>
      </c>
      <c r="K82" s="2">
        <v>38.99</v>
      </c>
    </row>
    <row r="83" ht="15.75" customHeight="1">
      <c r="A83" s="2" t="s">
        <v>164</v>
      </c>
      <c r="B83" s="3">
        <v>45969.0</v>
      </c>
      <c r="C83" s="2" t="s">
        <v>22</v>
      </c>
      <c r="D83" s="2" t="s">
        <v>48</v>
      </c>
      <c r="E83" s="2" t="s">
        <v>37</v>
      </c>
      <c r="F83" s="2" t="s">
        <v>25</v>
      </c>
      <c r="G83" s="2">
        <v>3.0</v>
      </c>
      <c r="H83" s="2">
        <v>35.47</v>
      </c>
      <c r="I83" s="2">
        <v>0.15</v>
      </c>
      <c r="J83" s="2">
        <v>90.44</v>
      </c>
      <c r="K83" s="2">
        <v>27.59</v>
      </c>
    </row>
    <row r="84" ht="15.75" customHeight="1">
      <c r="A84" s="2" t="s">
        <v>165</v>
      </c>
      <c r="B84" s="3">
        <v>45960.0</v>
      </c>
      <c r="C84" s="2" t="s">
        <v>166</v>
      </c>
      <c r="D84" s="2" t="s">
        <v>23</v>
      </c>
      <c r="E84" s="2" t="s">
        <v>53</v>
      </c>
      <c r="F84" s="2" t="s">
        <v>25</v>
      </c>
      <c r="G84" s="2">
        <v>6.0</v>
      </c>
      <c r="H84" s="2">
        <v>57.66</v>
      </c>
      <c r="I84" s="2">
        <v>0.15</v>
      </c>
      <c r="J84" s="2">
        <v>294.06</v>
      </c>
      <c r="K84" s="2">
        <v>79.04</v>
      </c>
    </row>
    <row r="85" ht="15.75" customHeight="1">
      <c r="A85" s="2" t="s">
        <v>167</v>
      </c>
      <c r="B85" s="3">
        <v>45677.0</v>
      </c>
      <c r="C85" s="2" t="s">
        <v>168</v>
      </c>
      <c r="D85" s="2" t="s">
        <v>48</v>
      </c>
      <c r="E85" s="2" t="s">
        <v>72</v>
      </c>
      <c r="F85" s="2" t="s">
        <v>73</v>
      </c>
      <c r="G85" s="2">
        <v>5.0</v>
      </c>
      <c r="H85" s="2">
        <v>70.13</v>
      </c>
      <c r="I85" s="2">
        <v>0.0</v>
      </c>
      <c r="J85" s="2">
        <v>350.63</v>
      </c>
      <c r="K85" s="2">
        <v>94.4</v>
      </c>
    </row>
    <row r="86" ht="15.75" customHeight="1">
      <c r="A86" s="2" t="s">
        <v>170</v>
      </c>
      <c r="B86" s="3">
        <v>45711.0</v>
      </c>
      <c r="C86" s="2" t="s">
        <v>100</v>
      </c>
      <c r="D86" s="2" t="s">
        <v>13</v>
      </c>
      <c r="E86" s="2" t="s">
        <v>14</v>
      </c>
      <c r="F86" s="2" t="s">
        <v>15</v>
      </c>
      <c r="G86" s="2">
        <v>1.0</v>
      </c>
      <c r="H86" s="2">
        <v>200.48</v>
      </c>
      <c r="I86" s="2">
        <v>0.0</v>
      </c>
      <c r="J86" s="2">
        <v>200.48</v>
      </c>
      <c r="K86" s="2">
        <v>36.25</v>
      </c>
    </row>
    <row r="87" ht="15.75" customHeight="1">
      <c r="A87" s="2" t="s">
        <v>171</v>
      </c>
      <c r="B87" s="3">
        <v>46015.0</v>
      </c>
      <c r="C87" s="2" t="s">
        <v>79</v>
      </c>
      <c r="D87" s="2" t="s">
        <v>23</v>
      </c>
      <c r="E87" s="2" t="s">
        <v>32</v>
      </c>
      <c r="F87" s="2" t="s">
        <v>33</v>
      </c>
      <c r="G87" s="2">
        <v>7.0</v>
      </c>
      <c r="H87" s="2">
        <v>29.67</v>
      </c>
      <c r="I87" s="2">
        <v>0.0</v>
      </c>
      <c r="J87" s="2">
        <v>207.71</v>
      </c>
      <c r="K87" s="2">
        <v>39.45</v>
      </c>
    </row>
    <row r="88" ht="15.75" customHeight="1">
      <c r="A88" s="2" t="s">
        <v>172</v>
      </c>
      <c r="B88" s="3">
        <v>45843.0</v>
      </c>
      <c r="C88" s="2" t="s">
        <v>173</v>
      </c>
      <c r="D88" s="2" t="s">
        <v>48</v>
      </c>
      <c r="E88" s="2" t="s">
        <v>39</v>
      </c>
      <c r="F88" s="2" t="s">
        <v>25</v>
      </c>
      <c r="G88" s="2">
        <v>5.0</v>
      </c>
      <c r="H88" s="2">
        <v>37.61</v>
      </c>
      <c r="I88" s="2">
        <v>0.0</v>
      </c>
      <c r="J88" s="2">
        <v>188.05</v>
      </c>
      <c r="K88" s="2">
        <v>54.02</v>
      </c>
    </row>
    <row r="89" ht="15.75" customHeight="1">
      <c r="A89" s="2" t="s">
        <v>174</v>
      </c>
      <c r="B89" s="3">
        <v>45802.0</v>
      </c>
      <c r="C89" s="2" t="s">
        <v>154</v>
      </c>
      <c r="D89" s="2" t="s">
        <v>19</v>
      </c>
      <c r="E89" s="2" t="s">
        <v>39</v>
      </c>
      <c r="F89" s="2" t="s">
        <v>25</v>
      </c>
      <c r="G89" s="2">
        <v>4.0</v>
      </c>
      <c r="H89" s="2">
        <v>38.13</v>
      </c>
      <c r="I89" s="2">
        <v>0.0</v>
      </c>
      <c r="J89" s="2">
        <v>152.51</v>
      </c>
      <c r="K89" s="2">
        <v>44.13</v>
      </c>
    </row>
    <row r="90" ht="15.75" customHeight="1">
      <c r="A90" s="2" t="s">
        <v>175</v>
      </c>
      <c r="B90" s="3">
        <v>45692.0</v>
      </c>
      <c r="C90" s="2" t="s">
        <v>75</v>
      </c>
      <c r="D90" s="2" t="s">
        <v>48</v>
      </c>
      <c r="E90" s="2" t="s">
        <v>53</v>
      </c>
      <c r="F90" s="2" t="s">
        <v>25</v>
      </c>
      <c r="G90" s="2">
        <v>4.0</v>
      </c>
      <c r="H90" s="2">
        <v>55.9</v>
      </c>
      <c r="I90" s="2">
        <v>0.0</v>
      </c>
      <c r="J90" s="2">
        <v>223.62</v>
      </c>
      <c r="K90" s="2">
        <v>79.02</v>
      </c>
    </row>
    <row r="91" ht="15.75" customHeight="1">
      <c r="A91" s="2" t="s">
        <v>176</v>
      </c>
      <c r="B91" s="3">
        <v>45943.0</v>
      </c>
      <c r="C91" s="2" t="s">
        <v>177</v>
      </c>
      <c r="D91" s="2" t="s">
        <v>13</v>
      </c>
      <c r="E91" s="2" t="s">
        <v>56</v>
      </c>
      <c r="F91" s="2" t="s">
        <v>25</v>
      </c>
      <c r="G91" s="2">
        <v>8.0</v>
      </c>
      <c r="H91" s="2">
        <v>48.62</v>
      </c>
      <c r="I91" s="2">
        <v>0.1</v>
      </c>
      <c r="J91" s="2">
        <v>350.09</v>
      </c>
      <c r="K91" s="2">
        <v>127.24</v>
      </c>
    </row>
    <row r="92" ht="15.75" customHeight="1">
      <c r="A92" s="2" t="s">
        <v>178</v>
      </c>
      <c r="B92" s="3">
        <v>45881.0</v>
      </c>
      <c r="C92" s="2" t="s">
        <v>179</v>
      </c>
      <c r="D92" s="2" t="s">
        <v>19</v>
      </c>
      <c r="E92" s="2" t="s">
        <v>53</v>
      </c>
      <c r="F92" s="4" t="s">
        <v>25</v>
      </c>
      <c r="G92" s="2">
        <v>5.0</v>
      </c>
      <c r="H92" s="2">
        <v>50.83</v>
      </c>
      <c r="I92" s="2">
        <v>0.05</v>
      </c>
      <c r="J92" s="2">
        <v>241.45</v>
      </c>
      <c r="K92" s="2">
        <v>52.61</v>
      </c>
    </row>
    <row r="93" ht="15.75" customHeight="1">
      <c r="A93" s="2" t="s">
        <v>180</v>
      </c>
      <c r="B93" s="3">
        <v>45834.0</v>
      </c>
      <c r="C93" s="2" t="s">
        <v>145</v>
      </c>
      <c r="D93" s="2" t="s">
        <v>19</v>
      </c>
      <c r="E93" s="2" t="s">
        <v>56</v>
      </c>
      <c r="F93" s="2" t="s">
        <v>25</v>
      </c>
      <c r="G93" s="2">
        <v>5.0</v>
      </c>
      <c r="H93" s="2">
        <v>49.92</v>
      </c>
      <c r="I93" s="2">
        <v>0.05</v>
      </c>
      <c r="J93" s="2">
        <v>237.1</v>
      </c>
      <c r="K93" s="2">
        <v>50.78</v>
      </c>
    </row>
    <row r="94" ht="15.75" customHeight="1">
      <c r="A94" s="2" t="s">
        <v>181</v>
      </c>
      <c r="B94" s="3">
        <v>45663.0</v>
      </c>
      <c r="C94" s="2" t="s">
        <v>28</v>
      </c>
      <c r="D94" s="2" t="s">
        <v>19</v>
      </c>
      <c r="E94" s="4" t="s">
        <v>24</v>
      </c>
      <c r="F94" s="2" t="s">
        <v>25</v>
      </c>
      <c r="G94" s="2">
        <v>1.0</v>
      </c>
      <c r="H94" s="2">
        <v>21.7</v>
      </c>
      <c r="I94" s="2">
        <v>0.0</v>
      </c>
      <c r="J94" s="2">
        <v>21.7</v>
      </c>
      <c r="K94" s="2">
        <v>8.0</v>
      </c>
    </row>
    <row r="95" ht="15.75" customHeight="1">
      <c r="A95" s="2" t="s">
        <v>182</v>
      </c>
      <c r="B95" s="3">
        <v>45710.0</v>
      </c>
      <c r="C95" s="2" t="s">
        <v>126</v>
      </c>
      <c r="D95" s="2" t="s">
        <v>48</v>
      </c>
      <c r="E95" s="2" t="s">
        <v>53</v>
      </c>
      <c r="F95" s="2" t="s">
        <v>25</v>
      </c>
      <c r="G95" s="2">
        <v>7.0</v>
      </c>
      <c r="H95" s="2">
        <v>57.2</v>
      </c>
      <c r="I95" s="2">
        <v>0.1</v>
      </c>
      <c r="J95" s="2">
        <v>360.36</v>
      </c>
      <c r="K95" s="2">
        <v>94.76</v>
      </c>
    </row>
    <row r="96" ht="15.75" customHeight="1">
      <c r="A96" s="2" t="s">
        <v>183</v>
      </c>
      <c r="B96" s="3">
        <v>45708.0</v>
      </c>
      <c r="C96" s="2" t="s">
        <v>47</v>
      </c>
      <c r="D96" s="2" t="s">
        <v>19</v>
      </c>
      <c r="E96" s="4" t="s">
        <v>24</v>
      </c>
      <c r="F96" s="2" t="s">
        <v>25</v>
      </c>
      <c r="G96" s="2">
        <v>3.0</v>
      </c>
      <c r="H96" s="2">
        <v>21.11</v>
      </c>
      <c r="I96" s="2">
        <v>0.05</v>
      </c>
      <c r="J96" s="2">
        <v>60.17</v>
      </c>
      <c r="K96" s="2">
        <v>21.31</v>
      </c>
    </row>
    <row r="97" ht="15.75" customHeight="1">
      <c r="A97" s="2" t="s">
        <v>184</v>
      </c>
      <c r="B97" s="3">
        <v>45752.0</v>
      </c>
      <c r="C97" s="2" t="s">
        <v>185</v>
      </c>
      <c r="D97" s="2" t="s">
        <v>13</v>
      </c>
      <c r="E97" s="2" t="s">
        <v>39</v>
      </c>
      <c r="F97" s="2" t="s">
        <v>25</v>
      </c>
      <c r="G97" s="2">
        <v>6.0</v>
      </c>
      <c r="H97" s="2">
        <v>41.36</v>
      </c>
      <c r="I97" s="2">
        <v>0.1</v>
      </c>
      <c r="J97" s="2">
        <v>223.34</v>
      </c>
      <c r="K97" s="2">
        <v>82.78</v>
      </c>
    </row>
    <row r="98" ht="15.75" customHeight="1">
      <c r="A98" s="2" t="s">
        <v>186</v>
      </c>
      <c r="B98" s="3">
        <v>45925.0</v>
      </c>
      <c r="C98" s="2" t="s">
        <v>61</v>
      </c>
      <c r="D98" s="2" t="s">
        <v>48</v>
      </c>
      <c r="E98" s="4" t="s">
        <v>24</v>
      </c>
      <c r="F98" s="2" t="s">
        <v>25</v>
      </c>
      <c r="G98" s="2">
        <v>2.0</v>
      </c>
      <c r="H98" s="2">
        <v>22.07</v>
      </c>
      <c r="I98" s="2">
        <v>0.1</v>
      </c>
      <c r="J98" s="2">
        <v>39.73</v>
      </c>
      <c r="K98" s="2">
        <v>10.96</v>
      </c>
    </row>
    <row r="99" ht="15.75" customHeight="1">
      <c r="A99" s="2" t="s">
        <v>187</v>
      </c>
      <c r="B99" s="3">
        <v>45912.0</v>
      </c>
      <c r="C99" s="2" t="s">
        <v>179</v>
      </c>
      <c r="D99" s="2" t="s">
        <v>13</v>
      </c>
      <c r="E99" s="2" t="s">
        <v>39</v>
      </c>
      <c r="F99" s="2" t="s">
        <v>25</v>
      </c>
      <c r="G99" s="2">
        <v>5.0</v>
      </c>
      <c r="H99" s="2">
        <v>36.43</v>
      </c>
      <c r="I99" s="2">
        <v>0.1</v>
      </c>
      <c r="J99" s="2">
        <v>163.94</v>
      </c>
      <c r="K99" s="2">
        <v>42.95</v>
      </c>
    </row>
    <row r="100" ht="15.75" customHeight="1">
      <c r="A100" s="2" t="s">
        <v>188</v>
      </c>
      <c r="B100" s="3">
        <v>45849.0</v>
      </c>
      <c r="C100" s="2" t="s">
        <v>173</v>
      </c>
      <c r="D100" s="2" t="s">
        <v>48</v>
      </c>
      <c r="E100" s="2" t="s">
        <v>14</v>
      </c>
      <c r="F100" s="2" t="s">
        <v>15</v>
      </c>
      <c r="G100" s="2">
        <v>5.0</v>
      </c>
      <c r="H100" s="2">
        <v>214.04</v>
      </c>
      <c r="I100" s="2">
        <v>0.1</v>
      </c>
      <c r="J100" s="2">
        <v>963.19</v>
      </c>
      <c r="K100" s="2">
        <v>324.99</v>
      </c>
    </row>
    <row r="101" ht="15.75" customHeight="1">
      <c r="A101" s="2" t="s">
        <v>189</v>
      </c>
      <c r="B101" s="3">
        <v>45965.0</v>
      </c>
      <c r="C101" s="2" t="s">
        <v>168</v>
      </c>
      <c r="D101" s="2" t="s">
        <v>48</v>
      </c>
      <c r="E101" s="2" t="s">
        <v>72</v>
      </c>
      <c r="F101" s="2" t="s">
        <v>73</v>
      </c>
      <c r="G101" s="2">
        <v>2.0</v>
      </c>
      <c r="H101" s="2">
        <v>65.94</v>
      </c>
      <c r="I101" s="2">
        <v>0.05</v>
      </c>
      <c r="J101" s="2">
        <v>125.28</v>
      </c>
      <c r="K101" s="2">
        <v>36.64</v>
      </c>
    </row>
    <row r="102" ht="15.75" customHeight="1">
      <c r="A102" s="2" t="s">
        <v>190</v>
      </c>
      <c r="B102" s="3">
        <v>45738.0</v>
      </c>
      <c r="C102" s="2" t="s">
        <v>133</v>
      </c>
      <c r="D102" s="2" t="s">
        <v>19</v>
      </c>
      <c r="E102" s="2" t="s">
        <v>37</v>
      </c>
      <c r="F102" s="2" t="s">
        <v>25</v>
      </c>
      <c r="G102" s="2">
        <v>8.0</v>
      </c>
      <c r="H102" s="2">
        <v>37.3</v>
      </c>
      <c r="I102" s="2">
        <v>0.0</v>
      </c>
      <c r="J102" s="2">
        <v>298.39</v>
      </c>
      <c r="K102" s="2">
        <v>82.14</v>
      </c>
    </row>
    <row r="103" ht="15.75" customHeight="1">
      <c r="A103" s="2" t="s">
        <v>191</v>
      </c>
      <c r="B103" s="3">
        <v>45726.0</v>
      </c>
      <c r="C103" s="2" t="s">
        <v>192</v>
      </c>
      <c r="D103" s="2" t="s">
        <v>48</v>
      </c>
      <c r="E103" s="2" t="s">
        <v>39</v>
      </c>
      <c r="F103" s="2" t="s">
        <v>25</v>
      </c>
      <c r="G103" s="2">
        <v>2.0</v>
      </c>
      <c r="H103" s="2">
        <v>41.66</v>
      </c>
      <c r="I103" s="2">
        <v>0.05</v>
      </c>
      <c r="J103" s="2">
        <v>79.16</v>
      </c>
      <c r="K103" s="2">
        <v>25.99</v>
      </c>
    </row>
    <row r="104" ht="15.75" customHeight="1">
      <c r="A104" s="2" t="s">
        <v>193</v>
      </c>
      <c r="B104" s="3">
        <v>45768.0</v>
      </c>
      <c r="C104" s="2" t="s">
        <v>168</v>
      </c>
      <c r="D104" s="2" t="s">
        <v>13</v>
      </c>
      <c r="E104" s="2" t="s">
        <v>53</v>
      </c>
      <c r="F104" s="2" t="s">
        <v>25</v>
      </c>
      <c r="G104" s="2">
        <v>2.0</v>
      </c>
      <c r="H104" s="2">
        <v>53.49</v>
      </c>
      <c r="I104" s="2">
        <v>0.05</v>
      </c>
      <c r="J104" s="2">
        <v>101.64</v>
      </c>
      <c r="K104" s="2">
        <v>33.74</v>
      </c>
    </row>
    <row r="105" ht="15.75" customHeight="1">
      <c r="A105" s="2" t="s">
        <v>194</v>
      </c>
      <c r="B105" s="3">
        <v>46017.0</v>
      </c>
      <c r="C105" s="2" t="s">
        <v>36</v>
      </c>
      <c r="D105" s="2" t="s">
        <v>23</v>
      </c>
      <c r="E105" s="2" t="s">
        <v>14</v>
      </c>
      <c r="F105" s="2" t="s">
        <v>15</v>
      </c>
      <c r="G105" s="2">
        <v>8.0</v>
      </c>
      <c r="H105" s="2">
        <v>198.3</v>
      </c>
      <c r="I105" s="2">
        <v>0.0</v>
      </c>
      <c r="J105" s="2">
        <v>1586.43</v>
      </c>
      <c r="K105" s="2">
        <v>399.5</v>
      </c>
    </row>
    <row r="106" ht="15.75" customHeight="1">
      <c r="A106" s="2" t="s">
        <v>195</v>
      </c>
      <c r="B106" s="3">
        <v>45718.0</v>
      </c>
      <c r="C106" s="2" t="s">
        <v>12</v>
      </c>
      <c r="D106" s="2" t="s">
        <v>13</v>
      </c>
      <c r="E106" s="2" t="s">
        <v>37</v>
      </c>
      <c r="F106" s="2" t="s">
        <v>25</v>
      </c>
      <c r="G106" s="2">
        <v>3.0</v>
      </c>
      <c r="H106" s="2">
        <v>37.1</v>
      </c>
      <c r="I106" s="2">
        <v>0.05</v>
      </c>
      <c r="J106" s="2">
        <v>105.72</v>
      </c>
      <c r="K106" s="2">
        <v>19.6</v>
      </c>
    </row>
    <row r="107" ht="15.75" customHeight="1">
      <c r="A107" s="2" t="s">
        <v>196</v>
      </c>
      <c r="B107" s="3">
        <v>45983.0</v>
      </c>
      <c r="C107" s="2" t="s">
        <v>61</v>
      </c>
      <c r="D107" s="2" t="s">
        <v>19</v>
      </c>
      <c r="E107" s="2" t="s">
        <v>56</v>
      </c>
      <c r="F107" s="2" t="s">
        <v>25</v>
      </c>
      <c r="G107" s="2">
        <v>5.0</v>
      </c>
      <c r="H107" s="2">
        <v>45.46</v>
      </c>
      <c r="I107" s="2">
        <v>0.0</v>
      </c>
      <c r="J107" s="2">
        <v>227.29</v>
      </c>
      <c r="K107" s="2">
        <v>78.32</v>
      </c>
    </row>
    <row r="108" ht="15.75" customHeight="1">
      <c r="A108" s="2" t="s">
        <v>197</v>
      </c>
      <c r="B108" s="3">
        <v>45958.0</v>
      </c>
      <c r="C108" s="2" t="s">
        <v>140</v>
      </c>
      <c r="D108" s="2" t="s">
        <v>19</v>
      </c>
      <c r="E108" s="2" t="s">
        <v>37</v>
      </c>
      <c r="F108" s="2" t="s">
        <v>25</v>
      </c>
      <c r="G108" s="2">
        <v>4.0</v>
      </c>
      <c r="H108" s="2">
        <v>33.36</v>
      </c>
      <c r="I108" s="2">
        <v>0.05</v>
      </c>
      <c r="J108" s="2">
        <v>126.75</v>
      </c>
      <c r="K108" s="2">
        <v>35.4</v>
      </c>
    </row>
    <row r="109" ht="15.75" customHeight="1">
      <c r="A109" s="2" t="s">
        <v>198</v>
      </c>
      <c r="B109" s="3">
        <v>45764.0</v>
      </c>
      <c r="C109" s="2" t="s">
        <v>45</v>
      </c>
      <c r="D109" s="2" t="s">
        <v>19</v>
      </c>
      <c r="E109" s="4" t="s">
        <v>24</v>
      </c>
      <c r="F109" s="2" t="s">
        <v>25</v>
      </c>
      <c r="G109" s="2">
        <v>1.0</v>
      </c>
      <c r="H109" s="2">
        <v>21.93</v>
      </c>
      <c r="I109" s="2">
        <v>0.05</v>
      </c>
      <c r="J109" s="2">
        <v>20.84</v>
      </c>
      <c r="K109" s="2">
        <v>5.79</v>
      </c>
    </row>
    <row r="110" ht="15.75" customHeight="1">
      <c r="A110" s="2" t="s">
        <v>199</v>
      </c>
      <c r="B110" s="3">
        <v>45837.0</v>
      </c>
      <c r="C110" s="2" t="s">
        <v>77</v>
      </c>
      <c r="D110" s="2" t="s">
        <v>13</v>
      </c>
      <c r="E110" s="2" t="s">
        <v>37</v>
      </c>
      <c r="F110" s="2" t="s">
        <v>25</v>
      </c>
      <c r="G110" s="2">
        <v>2.0</v>
      </c>
      <c r="H110" s="2">
        <v>37.06</v>
      </c>
      <c r="I110" s="2">
        <v>0.0</v>
      </c>
      <c r="J110" s="2">
        <v>74.12</v>
      </c>
      <c r="K110" s="2">
        <v>19.31</v>
      </c>
    </row>
    <row r="111" ht="15.75" customHeight="1">
      <c r="A111" s="2" t="s">
        <v>200</v>
      </c>
      <c r="B111" s="3">
        <v>45873.0</v>
      </c>
      <c r="C111" s="2" t="s">
        <v>83</v>
      </c>
      <c r="D111" s="2" t="s">
        <v>19</v>
      </c>
      <c r="E111" s="2" t="s">
        <v>14</v>
      </c>
      <c r="F111" s="2" t="s">
        <v>15</v>
      </c>
      <c r="G111" s="2">
        <v>8.0</v>
      </c>
      <c r="H111" s="2">
        <v>209.48</v>
      </c>
      <c r="I111" s="2">
        <v>0.05</v>
      </c>
      <c r="J111" s="2">
        <v>1592.05</v>
      </c>
      <c r="K111" s="2">
        <v>487.51</v>
      </c>
    </row>
    <row r="112" ht="15.75" customHeight="1">
      <c r="A112" s="2" t="s">
        <v>201</v>
      </c>
      <c r="B112" s="3">
        <v>45895.0</v>
      </c>
      <c r="C112" s="2" t="s">
        <v>142</v>
      </c>
      <c r="D112" s="2" t="s">
        <v>13</v>
      </c>
      <c r="E112" s="4" t="s">
        <v>24</v>
      </c>
      <c r="F112" s="2" t="s">
        <v>25</v>
      </c>
      <c r="G112" s="2">
        <v>6.0</v>
      </c>
      <c r="H112" s="2">
        <v>20.76</v>
      </c>
      <c r="I112" s="2">
        <v>0.0</v>
      </c>
      <c r="J112" s="2">
        <v>124.56</v>
      </c>
      <c r="K112" s="2">
        <v>30.21</v>
      </c>
    </row>
    <row r="113" ht="15.75" customHeight="1">
      <c r="A113" s="2" t="s">
        <v>202</v>
      </c>
      <c r="B113" s="3">
        <v>45849.0</v>
      </c>
      <c r="C113" s="2" t="s">
        <v>203</v>
      </c>
      <c r="D113" s="2" t="s">
        <v>13</v>
      </c>
      <c r="E113" s="2" t="s">
        <v>39</v>
      </c>
      <c r="F113" s="2" t="s">
        <v>25</v>
      </c>
      <c r="G113" s="2">
        <v>5.0</v>
      </c>
      <c r="H113" s="2">
        <v>41.29</v>
      </c>
      <c r="I113" s="2">
        <v>0.05</v>
      </c>
      <c r="J113" s="2">
        <v>196.13</v>
      </c>
      <c r="K113" s="2">
        <v>58.95</v>
      </c>
    </row>
    <row r="114" ht="15.75" customHeight="1">
      <c r="A114" s="2" t="s">
        <v>204</v>
      </c>
      <c r="B114" s="3">
        <v>45783.0</v>
      </c>
      <c r="C114" s="2" t="s">
        <v>70</v>
      </c>
      <c r="D114" s="2" t="s">
        <v>19</v>
      </c>
      <c r="E114" s="2" t="s">
        <v>53</v>
      </c>
      <c r="F114" s="2" t="s">
        <v>25</v>
      </c>
      <c r="G114" s="2">
        <v>4.0</v>
      </c>
      <c r="H114" s="2">
        <v>50.78</v>
      </c>
      <c r="I114" s="2">
        <v>0.0</v>
      </c>
      <c r="J114" s="2">
        <v>203.11</v>
      </c>
      <c r="K114" s="2">
        <v>68.59</v>
      </c>
    </row>
    <row r="115" ht="15.75" customHeight="1">
      <c r="A115" s="2" t="s">
        <v>205</v>
      </c>
      <c r="B115" s="3">
        <v>45766.0</v>
      </c>
      <c r="C115" s="2" t="s">
        <v>150</v>
      </c>
      <c r="D115" s="2" t="s">
        <v>13</v>
      </c>
      <c r="E115" s="2" t="s">
        <v>37</v>
      </c>
      <c r="F115" s="2" t="s">
        <v>25</v>
      </c>
      <c r="G115" s="2">
        <v>5.0</v>
      </c>
      <c r="H115" s="2">
        <v>35.52</v>
      </c>
      <c r="I115" s="2">
        <v>0.05</v>
      </c>
      <c r="J115" s="2">
        <v>168.74</v>
      </c>
      <c r="K115" s="2">
        <v>37.49</v>
      </c>
    </row>
    <row r="116" ht="15.75" customHeight="1">
      <c r="A116" s="2" t="s">
        <v>206</v>
      </c>
      <c r="B116" s="3">
        <v>45893.0</v>
      </c>
      <c r="C116" s="2" t="s">
        <v>207</v>
      </c>
      <c r="D116" s="2" t="s">
        <v>48</v>
      </c>
      <c r="E116" s="2" t="s">
        <v>39</v>
      </c>
      <c r="F116" s="2" t="s">
        <v>25</v>
      </c>
      <c r="G116" s="2">
        <v>7.0</v>
      </c>
      <c r="H116" s="2">
        <v>40.48</v>
      </c>
      <c r="I116" s="2">
        <v>0.05</v>
      </c>
      <c r="J116" s="2">
        <v>269.18</v>
      </c>
      <c r="K116" s="2">
        <v>70.71</v>
      </c>
    </row>
    <row r="117" ht="15.75" customHeight="1">
      <c r="A117" s="2" t="s">
        <v>208</v>
      </c>
      <c r="B117" s="3">
        <v>45972.0</v>
      </c>
      <c r="C117" s="2" t="s">
        <v>47</v>
      </c>
      <c r="D117" s="2" t="s">
        <v>48</v>
      </c>
      <c r="E117" s="2" t="s">
        <v>37</v>
      </c>
      <c r="F117" s="2" t="s">
        <v>25</v>
      </c>
      <c r="G117" s="2">
        <v>5.0</v>
      </c>
      <c r="H117" s="2">
        <v>34.23</v>
      </c>
      <c r="I117" s="2">
        <v>0.05</v>
      </c>
      <c r="J117" s="2">
        <v>162.61</v>
      </c>
      <c r="K117" s="2">
        <v>43.23</v>
      </c>
    </row>
    <row r="118" ht="15.75" customHeight="1">
      <c r="A118" s="2" t="s">
        <v>209</v>
      </c>
      <c r="B118" s="3">
        <v>45769.0</v>
      </c>
      <c r="C118" s="2" t="s">
        <v>36</v>
      </c>
      <c r="D118" s="2" t="s">
        <v>48</v>
      </c>
      <c r="E118" s="2" t="s">
        <v>53</v>
      </c>
      <c r="F118" s="2" t="s">
        <v>25</v>
      </c>
      <c r="G118" s="2">
        <v>1.0</v>
      </c>
      <c r="H118" s="2">
        <v>52.69</v>
      </c>
      <c r="I118" s="2">
        <v>0.0</v>
      </c>
      <c r="J118" s="2">
        <v>52.69</v>
      </c>
      <c r="K118" s="2">
        <v>18.41</v>
      </c>
    </row>
    <row r="119" ht="15.75" customHeight="1">
      <c r="A119" s="2" t="s">
        <v>210</v>
      </c>
      <c r="B119" s="3">
        <v>45904.0</v>
      </c>
      <c r="C119" s="2" t="s">
        <v>110</v>
      </c>
      <c r="D119" s="2" t="s">
        <v>13</v>
      </c>
      <c r="E119" s="2" t="s">
        <v>56</v>
      </c>
      <c r="F119" s="2" t="s">
        <v>25</v>
      </c>
      <c r="G119" s="2">
        <v>6.0</v>
      </c>
      <c r="H119" s="2">
        <v>46.35</v>
      </c>
      <c r="I119" s="16">
        <v>0.0</v>
      </c>
      <c r="J119" s="2">
        <v>278.1</v>
      </c>
      <c r="K119" s="2">
        <v>55.8</v>
      </c>
    </row>
    <row r="120" ht="15.75" customHeight="1">
      <c r="A120" s="2" t="s">
        <v>211</v>
      </c>
      <c r="B120" s="3">
        <v>45877.0</v>
      </c>
      <c r="C120" s="2" t="s">
        <v>212</v>
      </c>
      <c r="D120" s="2" t="s">
        <v>23</v>
      </c>
      <c r="E120" s="2" t="s">
        <v>14</v>
      </c>
      <c r="F120" s="2" t="s">
        <v>15</v>
      </c>
      <c r="G120" s="2">
        <v>8.0</v>
      </c>
      <c r="H120" s="2">
        <v>216.62</v>
      </c>
      <c r="I120" s="2">
        <v>0.15</v>
      </c>
      <c r="J120" s="2">
        <v>1473.0</v>
      </c>
      <c r="K120" s="2">
        <v>295.6</v>
      </c>
    </row>
    <row r="121" ht="15.75" customHeight="1">
      <c r="A121" s="2" t="s">
        <v>213</v>
      </c>
      <c r="B121" s="3">
        <v>45719.0</v>
      </c>
      <c r="C121" s="2" t="s">
        <v>168</v>
      </c>
      <c r="D121" s="2" t="s">
        <v>48</v>
      </c>
      <c r="E121" s="2" t="s">
        <v>14</v>
      </c>
      <c r="F121" s="2" t="s">
        <v>15</v>
      </c>
      <c r="G121" s="2">
        <v>6.0</v>
      </c>
      <c r="H121" s="2">
        <v>225.96</v>
      </c>
      <c r="I121" s="2">
        <v>0.05</v>
      </c>
      <c r="J121" s="2">
        <v>1287.98</v>
      </c>
      <c r="K121" s="2">
        <v>303.22</v>
      </c>
    </row>
    <row r="122" ht="15.75" customHeight="1">
      <c r="A122" s="2" t="s">
        <v>214</v>
      </c>
      <c r="B122" s="3">
        <v>45983.0</v>
      </c>
      <c r="C122" s="2" t="s">
        <v>135</v>
      </c>
      <c r="D122" s="2" t="s">
        <v>48</v>
      </c>
      <c r="E122" s="2" t="s">
        <v>14</v>
      </c>
      <c r="F122" s="2" t="s">
        <v>15</v>
      </c>
      <c r="G122" s="2">
        <v>3.0</v>
      </c>
      <c r="H122" s="2">
        <v>212.41</v>
      </c>
      <c r="I122" s="2">
        <v>0.0</v>
      </c>
      <c r="J122" s="2">
        <v>637.22</v>
      </c>
      <c r="K122" s="2">
        <v>144.08</v>
      </c>
    </row>
    <row r="123" ht="15.75" customHeight="1">
      <c r="A123" s="2" t="s">
        <v>215</v>
      </c>
      <c r="B123" s="3">
        <v>45658.0</v>
      </c>
      <c r="C123" s="2" t="s">
        <v>135</v>
      </c>
      <c r="D123" s="2" t="s">
        <v>48</v>
      </c>
      <c r="E123" s="2" t="s">
        <v>39</v>
      </c>
      <c r="F123" s="2" t="s">
        <v>25</v>
      </c>
      <c r="G123" s="2">
        <v>3.0</v>
      </c>
      <c r="H123" s="2">
        <v>37.12</v>
      </c>
      <c r="I123" s="2">
        <v>0.1</v>
      </c>
      <c r="J123" s="2">
        <v>100.24</v>
      </c>
      <c r="K123" s="2">
        <v>27.47</v>
      </c>
    </row>
    <row r="124" ht="15.75" customHeight="1">
      <c r="A124" s="2" t="s">
        <v>216</v>
      </c>
      <c r="B124" s="3">
        <v>45916.0</v>
      </c>
      <c r="C124" s="2" t="s">
        <v>22</v>
      </c>
      <c r="D124" s="2" t="s">
        <v>48</v>
      </c>
      <c r="E124" s="2" t="s">
        <v>32</v>
      </c>
      <c r="F124" s="2" t="s">
        <v>33</v>
      </c>
      <c r="G124" s="2">
        <v>6.0</v>
      </c>
      <c r="H124" s="2">
        <v>32.42</v>
      </c>
      <c r="I124" s="2">
        <v>0.0</v>
      </c>
      <c r="J124" s="2">
        <v>194.5</v>
      </c>
      <c r="K124" s="2">
        <v>55.19</v>
      </c>
    </row>
    <row r="125" ht="15.75" customHeight="1">
      <c r="A125" s="2" t="s">
        <v>217</v>
      </c>
      <c r="B125" s="3">
        <v>45670.0</v>
      </c>
      <c r="C125" s="2" t="s">
        <v>114</v>
      </c>
      <c r="D125" s="2" t="s">
        <v>48</v>
      </c>
      <c r="E125" s="4" t="s">
        <v>24</v>
      </c>
      <c r="F125" s="2" t="s">
        <v>25</v>
      </c>
      <c r="G125" s="2">
        <v>8.0</v>
      </c>
      <c r="H125" s="2">
        <v>20.71</v>
      </c>
      <c r="I125" s="2">
        <v>0.0</v>
      </c>
      <c r="J125" s="2">
        <v>165.71</v>
      </c>
      <c r="K125" s="2">
        <v>30.16</v>
      </c>
    </row>
    <row r="126" ht="15.75" customHeight="1">
      <c r="A126" s="2" t="s">
        <v>218</v>
      </c>
      <c r="B126" s="3">
        <v>45695.0</v>
      </c>
      <c r="C126" s="2" t="s">
        <v>219</v>
      </c>
      <c r="D126" s="2" t="s">
        <v>13</v>
      </c>
      <c r="E126" s="2" t="s">
        <v>39</v>
      </c>
      <c r="F126" s="2" t="s">
        <v>25</v>
      </c>
      <c r="G126" s="2">
        <v>1.0</v>
      </c>
      <c r="H126" s="2">
        <v>36.75</v>
      </c>
      <c r="I126" s="2">
        <v>0.0</v>
      </c>
      <c r="J126" s="2">
        <v>36.75</v>
      </c>
      <c r="K126" s="2">
        <v>13.11</v>
      </c>
    </row>
    <row r="127" ht="15.75" customHeight="1">
      <c r="A127" s="2" t="s">
        <v>220</v>
      </c>
      <c r="B127" s="3">
        <v>45991.0</v>
      </c>
      <c r="C127" s="2" t="s">
        <v>108</v>
      </c>
      <c r="D127" s="2" t="s">
        <v>23</v>
      </c>
      <c r="E127" s="2" t="s">
        <v>72</v>
      </c>
      <c r="F127" s="2" t="s">
        <v>73</v>
      </c>
      <c r="G127" s="2">
        <v>7.0</v>
      </c>
      <c r="H127" s="2">
        <v>69.47</v>
      </c>
      <c r="I127" s="2">
        <v>0.1</v>
      </c>
      <c r="J127" s="2">
        <v>437.64</v>
      </c>
      <c r="K127" s="2">
        <v>81.84</v>
      </c>
    </row>
    <row r="128" ht="15.75" customHeight="1">
      <c r="A128" s="2" t="s">
        <v>221</v>
      </c>
      <c r="B128" s="3">
        <v>45977.0</v>
      </c>
      <c r="C128" s="2" t="s">
        <v>18</v>
      </c>
      <c r="D128" s="2" t="s">
        <v>23</v>
      </c>
      <c r="E128" s="2" t="s">
        <v>56</v>
      </c>
      <c r="F128" s="2" t="s">
        <v>25</v>
      </c>
      <c r="G128" s="2">
        <v>1.0</v>
      </c>
      <c r="H128" s="2">
        <v>45.73</v>
      </c>
      <c r="I128" s="2">
        <v>0.05</v>
      </c>
      <c r="J128" s="2">
        <v>43.45</v>
      </c>
      <c r="K128" s="2">
        <v>8.46</v>
      </c>
    </row>
    <row r="129" ht="15.75" customHeight="1">
      <c r="A129" s="2" t="s">
        <v>222</v>
      </c>
      <c r="B129" s="3">
        <v>45943.0</v>
      </c>
      <c r="C129" s="2" t="s">
        <v>116</v>
      </c>
      <c r="D129" s="2" t="s">
        <v>19</v>
      </c>
      <c r="E129" s="2" t="s">
        <v>32</v>
      </c>
      <c r="F129" s="2" t="s">
        <v>33</v>
      </c>
      <c r="G129" s="2">
        <v>5.0</v>
      </c>
      <c r="H129" s="2">
        <v>30.16</v>
      </c>
      <c r="I129" s="2">
        <v>0.1</v>
      </c>
      <c r="J129" s="2">
        <v>135.7</v>
      </c>
      <c r="K129" s="2">
        <v>46.09</v>
      </c>
    </row>
    <row r="130" ht="15.75" customHeight="1">
      <c r="A130" s="2" t="s">
        <v>223</v>
      </c>
      <c r="B130" s="3">
        <v>45746.0</v>
      </c>
      <c r="C130" s="2" t="s">
        <v>47</v>
      </c>
      <c r="D130" s="2" t="s">
        <v>48</v>
      </c>
      <c r="E130" s="2" t="s">
        <v>53</v>
      </c>
      <c r="F130" s="2" t="s">
        <v>25</v>
      </c>
      <c r="G130" s="2">
        <v>5.0</v>
      </c>
      <c r="H130" s="2">
        <v>52.67</v>
      </c>
      <c r="I130" s="2">
        <v>0.05</v>
      </c>
      <c r="J130" s="2">
        <v>250.2</v>
      </c>
      <c r="K130" s="2">
        <v>49.65</v>
      </c>
    </row>
    <row r="131" ht="15.75" customHeight="1">
      <c r="A131" s="2" t="s">
        <v>224</v>
      </c>
      <c r="B131" s="3">
        <v>45836.0</v>
      </c>
      <c r="C131" s="2" t="s">
        <v>225</v>
      </c>
      <c r="D131" s="2" t="s">
        <v>19</v>
      </c>
      <c r="E131" s="2" t="s">
        <v>37</v>
      </c>
      <c r="F131" s="2" t="s">
        <v>25</v>
      </c>
      <c r="G131" s="2">
        <v>2.0</v>
      </c>
      <c r="H131" s="2">
        <v>36.77</v>
      </c>
      <c r="I131" s="2">
        <v>0.05</v>
      </c>
      <c r="J131" s="2">
        <v>69.87</v>
      </c>
      <c r="K131" s="2">
        <v>21.28</v>
      </c>
    </row>
    <row r="132" ht="15.75" customHeight="1">
      <c r="A132" s="2" t="s">
        <v>226</v>
      </c>
      <c r="B132" s="3">
        <v>45966.0</v>
      </c>
      <c r="C132" s="2" t="s">
        <v>114</v>
      </c>
      <c r="D132" s="2" t="s">
        <v>23</v>
      </c>
      <c r="E132" s="2" t="s">
        <v>14</v>
      </c>
      <c r="F132" s="2" t="s">
        <v>15</v>
      </c>
      <c r="G132" s="2">
        <v>7.0</v>
      </c>
      <c r="H132" s="2">
        <v>210.09</v>
      </c>
      <c r="I132" s="2">
        <v>0.0</v>
      </c>
      <c r="J132" s="2">
        <v>1470.64</v>
      </c>
      <c r="K132" s="2">
        <v>294.25</v>
      </c>
    </row>
    <row r="133" ht="15.75" customHeight="1">
      <c r="A133" s="2" t="s">
        <v>227</v>
      </c>
      <c r="B133" s="3">
        <v>45699.0</v>
      </c>
      <c r="C133" s="2" t="s">
        <v>31</v>
      </c>
      <c r="D133" s="2" t="s">
        <v>13</v>
      </c>
      <c r="E133" s="2" t="s">
        <v>56</v>
      </c>
      <c r="F133" s="2" t="s">
        <v>25</v>
      </c>
      <c r="G133" s="2">
        <v>7.0</v>
      </c>
      <c r="H133" s="2">
        <v>45.06</v>
      </c>
      <c r="I133" s="2">
        <v>0.15</v>
      </c>
      <c r="J133" s="2">
        <v>268.09</v>
      </c>
      <c r="K133" s="2">
        <v>68.22</v>
      </c>
    </row>
    <row r="134" ht="15.75" customHeight="1">
      <c r="A134" s="2" t="s">
        <v>228</v>
      </c>
      <c r="B134" s="3">
        <v>45814.0</v>
      </c>
      <c r="C134" s="2" t="s">
        <v>225</v>
      </c>
      <c r="D134" s="2" t="s">
        <v>19</v>
      </c>
      <c r="E134" s="2" t="s">
        <v>14</v>
      </c>
      <c r="F134" s="2" t="s">
        <v>15</v>
      </c>
      <c r="G134" s="2">
        <v>5.0</v>
      </c>
      <c r="H134" s="2">
        <v>209.85</v>
      </c>
      <c r="I134" s="2">
        <v>0.1</v>
      </c>
      <c r="J134" s="2">
        <v>944.31</v>
      </c>
      <c r="K134" s="2">
        <v>250.59</v>
      </c>
    </row>
    <row r="135" ht="15.75" customHeight="1">
      <c r="A135" s="2" t="s">
        <v>229</v>
      </c>
      <c r="B135" s="3">
        <v>45743.0</v>
      </c>
      <c r="C135" s="2" t="s">
        <v>83</v>
      </c>
      <c r="D135" s="2" t="s">
        <v>48</v>
      </c>
      <c r="E135" s="2" t="s">
        <v>37</v>
      </c>
      <c r="F135" s="2" t="s">
        <v>25</v>
      </c>
      <c r="G135" s="2">
        <v>5.0</v>
      </c>
      <c r="H135" s="2">
        <v>33.59</v>
      </c>
      <c r="I135" s="2">
        <v>0.1</v>
      </c>
      <c r="J135" s="2">
        <v>151.16</v>
      </c>
      <c r="K135" s="2">
        <v>56.43</v>
      </c>
    </row>
    <row r="136" ht="15.75" customHeight="1">
      <c r="A136" s="2" t="s">
        <v>230</v>
      </c>
      <c r="B136" s="3">
        <v>45960.0</v>
      </c>
      <c r="C136" s="2" t="s">
        <v>41</v>
      </c>
      <c r="D136" s="2" t="s">
        <v>19</v>
      </c>
      <c r="E136" s="2" t="s">
        <v>53</v>
      </c>
      <c r="F136" s="2" t="s">
        <v>25</v>
      </c>
      <c r="G136" s="2">
        <v>3.0</v>
      </c>
      <c r="H136" s="2">
        <v>57.24</v>
      </c>
      <c r="I136" s="2">
        <v>0.0</v>
      </c>
      <c r="J136" s="2">
        <v>171.72</v>
      </c>
      <c r="K136" s="2">
        <v>46.83</v>
      </c>
    </row>
    <row r="137" ht="15.75" customHeight="1">
      <c r="A137" s="2" t="s">
        <v>231</v>
      </c>
      <c r="B137" s="3">
        <v>45704.0</v>
      </c>
      <c r="C137" s="2" t="s">
        <v>36</v>
      </c>
      <c r="D137" s="2" t="s">
        <v>23</v>
      </c>
      <c r="E137" s="2" t="s">
        <v>32</v>
      </c>
      <c r="F137" s="2" t="s">
        <v>33</v>
      </c>
      <c r="G137" s="2">
        <v>4.0</v>
      </c>
      <c r="H137" s="2">
        <v>31.47</v>
      </c>
      <c r="I137" s="2">
        <v>0.1</v>
      </c>
      <c r="J137" s="2">
        <v>113.31</v>
      </c>
      <c r="K137" s="2">
        <v>39.66</v>
      </c>
    </row>
    <row r="138" ht="15.75" customHeight="1">
      <c r="A138" s="2" t="s">
        <v>232</v>
      </c>
      <c r="B138" s="3">
        <v>45939.0</v>
      </c>
      <c r="C138" s="2" t="s">
        <v>142</v>
      </c>
      <c r="D138" s="2" t="s">
        <v>13</v>
      </c>
      <c r="E138" s="2" t="s">
        <v>53</v>
      </c>
      <c r="F138" s="2" t="s">
        <v>25</v>
      </c>
      <c r="G138" s="2">
        <v>2.0</v>
      </c>
      <c r="H138" s="2">
        <v>50.71</v>
      </c>
      <c r="I138" s="2">
        <v>0.05</v>
      </c>
      <c r="J138" s="2">
        <v>96.34</v>
      </c>
      <c r="K138" s="2">
        <v>25.71</v>
      </c>
    </row>
    <row r="139" ht="15.75" customHeight="1">
      <c r="A139" s="2" t="s">
        <v>233</v>
      </c>
      <c r="B139" s="3">
        <v>45857.0</v>
      </c>
      <c r="C139" s="2" t="s">
        <v>234</v>
      </c>
      <c r="D139" s="2" t="s">
        <v>13</v>
      </c>
      <c r="E139" s="2" t="s">
        <v>53</v>
      </c>
      <c r="F139" s="2" t="s">
        <v>25</v>
      </c>
      <c r="G139" s="2">
        <v>4.0</v>
      </c>
      <c r="H139" s="2">
        <v>52.2</v>
      </c>
      <c r="I139" s="2">
        <v>0.1</v>
      </c>
      <c r="J139" s="2">
        <v>187.91</v>
      </c>
      <c r="K139" s="2">
        <v>49.48</v>
      </c>
    </row>
    <row r="140" ht="15.75" customHeight="1">
      <c r="A140" s="2" t="s">
        <v>235</v>
      </c>
      <c r="B140" s="3">
        <v>45867.0</v>
      </c>
      <c r="C140" s="2" t="s">
        <v>203</v>
      </c>
      <c r="D140" s="2" t="s">
        <v>19</v>
      </c>
      <c r="E140" s="4" t="s">
        <v>24</v>
      </c>
      <c r="F140" s="2" t="s">
        <v>25</v>
      </c>
      <c r="G140" s="2">
        <v>6.0</v>
      </c>
      <c r="H140" s="2">
        <v>22.4</v>
      </c>
      <c r="I140" s="2">
        <v>0.1</v>
      </c>
      <c r="J140" s="2">
        <v>120.98</v>
      </c>
      <c r="K140" s="2">
        <v>42.61</v>
      </c>
    </row>
    <row r="141" ht="15.75" customHeight="1">
      <c r="A141" s="2" t="s">
        <v>236</v>
      </c>
      <c r="B141" s="3">
        <v>45981.0</v>
      </c>
      <c r="C141" s="2" t="s">
        <v>133</v>
      </c>
      <c r="D141" s="2" t="s">
        <v>23</v>
      </c>
      <c r="E141" s="2" t="s">
        <v>14</v>
      </c>
      <c r="F141" s="2" t="s">
        <v>15</v>
      </c>
      <c r="G141" s="2">
        <v>8.0</v>
      </c>
      <c r="H141" s="2">
        <v>222.5</v>
      </c>
      <c r="I141" s="2">
        <v>0.15</v>
      </c>
      <c r="J141" s="2">
        <v>1513.02</v>
      </c>
      <c r="K141" s="2">
        <v>403.94</v>
      </c>
    </row>
    <row r="142" ht="15.75" customHeight="1">
      <c r="A142" s="2" t="s">
        <v>237</v>
      </c>
      <c r="B142" s="3">
        <v>45708.0</v>
      </c>
      <c r="C142" s="2" t="s">
        <v>43</v>
      </c>
      <c r="D142" s="2" t="s">
        <v>48</v>
      </c>
      <c r="E142" s="2" t="s">
        <v>53</v>
      </c>
      <c r="F142" s="2" t="s">
        <v>25</v>
      </c>
      <c r="G142" s="2">
        <v>8.0</v>
      </c>
      <c r="H142" s="2">
        <v>56.33</v>
      </c>
      <c r="I142" s="2">
        <v>0.1</v>
      </c>
      <c r="J142" s="2">
        <v>405.59</v>
      </c>
      <c r="K142" s="2">
        <v>123.75</v>
      </c>
    </row>
    <row r="143" ht="15.75" customHeight="1">
      <c r="A143" s="2" t="s">
        <v>238</v>
      </c>
      <c r="B143" s="3">
        <v>46003.0</v>
      </c>
      <c r="C143" s="2" t="s">
        <v>239</v>
      </c>
      <c r="D143" s="2" t="s">
        <v>23</v>
      </c>
      <c r="E143" s="2" t="s">
        <v>32</v>
      </c>
      <c r="F143" s="2" t="s">
        <v>33</v>
      </c>
      <c r="G143" s="2">
        <v>1.0</v>
      </c>
      <c r="H143" s="2">
        <v>34.18</v>
      </c>
      <c r="I143" s="2">
        <v>0.05</v>
      </c>
      <c r="J143" s="2">
        <v>32.47</v>
      </c>
      <c r="K143" s="2">
        <v>11.6</v>
      </c>
    </row>
    <row r="144" ht="15.75" customHeight="1">
      <c r="A144" s="2" t="s">
        <v>240</v>
      </c>
      <c r="B144" s="3">
        <v>45806.0</v>
      </c>
      <c r="C144" s="2" t="s">
        <v>179</v>
      </c>
      <c r="D144" s="2" t="s">
        <v>19</v>
      </c>
      <c r="E144" s="2" t="s">
        <v>72</v>
      </c>
      <c r="F144" s="2" t="s">
        <v>73</v>
      </c>
      <c r="G144" s="2">
        <v>7.0</v>
      </c>
      <c r="H144" s="2">
        <v>69.38</v>
      </c>
      <c r="I144" s="2">
        <v>0.1</v>
      </c>
      <c r="J144" s="2">
        <v>437.07</v>
      </c>
      <c r="K144" s="2">
        <v>120.73</v>
      </c>
    </row>
    <row r="145" ht="15.75" customHeight="1">
      <c r="A145" s="2" t="s">
        <v>241</v>
      </c>
      <c r="B145" s="3">
        <v>45948.0</v>
      </c>
      <c r="C145" s="2" t="s">
        <v>31</v>
      </c>
      <c r="D145" s="2" t="s">
        <v>19</v>
      </c>
      <c r="E145" s="2" t="s">
        <v>53</v>
      </c>
      <c r="F145" s="2" t="s">
        <v>25</v>
      </c>
      <c r="G145" s="10"/>
      <c r="H145" s="2">
        <v>52.41</v>
      </c>
      <c r="I145" s="2">
        <v>0.1</v>
      </c>
      <c r="J145" s="2">
        <v>47.17</v>
      </c>
      <c r="K145" s="2">
        <v>12.23</v>
      </c>
    </row>
    <row r="146" ht="15.75" customHeight="1">
      <c r="A146" s="2" t="s">
        <v>242</v>
      </c>
      <c r="B146" s="3">
        <v>46004.0</v>
      </c>
      <c r="C146" s="2" t="s">
        <v>243</v>
      </c>
      <c r="D146" s="2" t="s">
        <v>23</v>
      </c>
      <c r="E146" s="4" t="s">
        <v>24</v>
      </c>
      <c r="F146" s="2" t="s">
        <v>25</v>
      </c>
      <c r="G146" s="2">
        <v>3.0</v>
      </c>
      <c r="H146" s="2">
        <v>23.49</v>
      </c>
      <c r="I146" s="2">
        <v>0.05</v>
      </c>
      <c r="J146" s="2">
        <v>66.94</v>
      </c>
      <c r="K146" s="2">
        <v>19.0</v>
      </c>
    </row>
    <row r="147" ht="15.75" customHeight="1">
      <c r="A147" s="2" t="s">
        <v>244</v>
      </c>
      <c r="B147" s="3">
        <v>45837.0</v>
      </c>
      <c r="C147" s="2" t="s">
        <v>75</v>
      </c>
      <c r="D147" s="2" t="s">
        <v>19</v>
      </c>
      <c r="E147" s="2" t="s">
        <v>56</v>
      </c>
      <c r="F147" s="2" t="s">
        <v>25</v>
      </c>
      <c r="G147" s="2">
        <v>3.0</v>
      </c>
      <c r="H147" s="2">
        <v>47.63</v>
      </c>
      <c r="I147" s="2">
        <v>0.0</v>
      </c>
      <c r="J147" s="2">
        <v>142.9</v>
      </c>
      <c r="K147" s="2">
        <v>49.26</v>
      </c>
    </row>
    <row r="148" ht="15.75" customHeight="1">
      <c r="A148" s="2" t="s">
        <v>245</v>
      </c>
      <c r="B148" s="3">
        <v>45813.0</v>
      </c>
      <c r="C148" s="2" t="s">
        <v>177</v>
      </c>
      <c r="D148" s="2" t="s">
        <v>19</v>
      </c>
      <c r="E148" s="2" t="s">
        <v>32</v>
      </c>
      <c r="F148" s="2" t="s">
        <v>33</v>
      </c>
      <c r="G148" s="2">
        <v>1.0</v>
      </c>
      <c r="H148" s="2">
        <v>31.3</v>
      </c>
      <c r="I148" s="2">
        <v>0.05</v>
      </c>
      <c r="J148" s="2">
        <v>29.73</v>
      </c>
      <c r="K148" s="2">
        <v>7.54</v>
      </c>
    </row>
    <row r="149" ht="15.75" customHeight="1">
      <c r="A149" s="2" t="s">
        <v>246</v>
      </c>
      <c r="B149" s="3">
        <v>45999.0</v>
      </c>
      <c r="C149" s="2" t="s">
        <v>28</v>
      </c>
      <c r="D149" s="2" t="s">
        <v>13</v>
      </c>
      <c r="E149" s="2" t="s">
        <v>37</v>
      </c>
      <c r="F149" s="2" t="s">
        <v>25</v>
      </c>
      <c r="G149" s="2">
        <v>7.0</v>
      </c>
      <c r="H149" s="2">
        <v>37.66</v>
      </c>
      <c r="I149" s="2">
        <v>0.05</v>
      </c>
      <c r="J149" s="2">
        <v>250.46</v>
      </c>
      <c r="K149" s="2">
        <v>67.26</v>
      </c>
    </row>
    <row r="150" ht="15.75" customHeight="1">
      <c r="A150" s="2" t="s">
        <v>247</v>
      </c>
      <c r="B150" s="3">
        <v>45872.0</v>
      </c>
      <c r="C150" s="2" t="s">
        <v>104</v>
      </c>
      <c r="D150" s="2" t="s">
        <v>13</v>
      </c>
      <c r="E150" s="2" t="s">
        <v>53</v>
      </c>
      <c r="F150" s="2" t="s">
        <v>25</v>
      </c>
      <c r="G150" s="2">
        <v>8.0</v>
      </c>
      <c r="H150" s="2">
        <v>55.02</v>
      </c>
      <c r="I150" s="2">
        <v>0.05</v>
      </c>
      <c r="J150" s="2">
        <v>418.15</v>
      </c>
      <c r="K150" s="2">
        <v>153.29</v>
      </c>
    </row>
    <row r="151" ht="15.75" customHeight="1">
      <c r="A151" s="2" t="s">
        <v>248</v>
      </c>
      <c r="B151" s="3">
        <v>45943.0</v>
      </c>
      <c r="C151" s="2" t="s">
        <v>87</v>
      </c>
      <c r="D151" s="2" t="s">
        <v>23</v>
      </c>
      <c r="E151" s="2" t="s">
        <v>32</v>
      </c>
      <c r="F151" s="2" t="s">
        <v>33</v>
      </c>
      <c r="G151" s="2">
        <v>3.0</v>
      </c>
      <c r="H151" s="2">
        <v>31.23</v>
      </c>
      <c r="I151" s="2">
        <v>0.05</v>
      </c>
      <c r="J151" s="2">
        <v>89.0</v>
      </c>
      <c r="K151" s="2">
        <v>22.7</v>
      </c>
    </row>
    <row r="152" ht="15.75" customHeight="1">
      <c r="A152" s="2" t="s">
        <v>249</v>
      </c>
      <c r="B152" s="3">
        <v>45770.0</v>
      </c>
      <c r="C152" s="2" t="s">
        <v>177</v>
      </c>
      <c r="D152" s="2" t="s">
        <v>48</v>
      </c>
      <c r="E152" s="2" t="s">
        <v>56</v>
      </c>
      <c r="F152" s="2" t="s">
        <v>25</v>
      </c>
      <c r="G152" s="2">
        <v>2.0</v>
      </c>
      <c r="H152" s="2">
        <v>46.42</v>
      </c>
      <c r="I152" s="2">
        <v>0.1</v>
      </c>
      <c r="J152" s="2">
        <v>83.55</v>
      </c>
      <c r="K152" s="2">
        <v>22.93</v>
      </c>
    </row>
    <row r="153" ht="15.75" customHeight="1">
      <c r="A153" s="2" t="s">
        <v>250</v>
      </c>
      <c r="B153" s="3">
        <v>46016.0</v>
      </c>
      <c r="C153" s="2" t="s">
        <v>110</v>
      </c>
      <c r="D153" s="2" t="s">
        <v>23</v>
      </c>
      <c r="E153" s="2" t="s">
        <v>72</v>
      </c>
      <c r="F153" s="2" t="s">
        <v>73</v>
      </c>
      <c r="G153" s="2">
        <v>3.0</v>
      </c>
      <c r="H153" s="2">
        <v>61.41</v>
      </c>
      <c r="I153" s="2">
        <v>0.0</v>
      </c>
      <c r="J153" s="2">
        <v>184.24</v>
      </c>
      <c r="K153" s="2">
        <v>38.26</v>
      </c>
    </row>
    <row r="154" ht="15.75" customHeight="1">
      <c r="A154" s="2" t="s">
        <v>251</v>
      </c>
      <c r="B154" s="3">
        <v>45712.0</v>
      </c>
      <c r="C154" s="2" t="s">
        <v>28</v>
      </c>
      <c r="D154" s="2" t="s">
        <v>23</v>
      </c>
      <c r="E154" s="4" t="s">
        <v>24</v>
      </c>
      <c r="F154" s="2" t="s">
        <v>25</v>
      </c>
      <c r="G154" s="2">
        <v>2.0</v>
      </c>
      <c r="H154" s="2">
        <v>23.4</v>
      </c>
      <c r="I154" s="2">
        <v>0.05</v>
      </c>
      <c r="J154" s="2">
        <v>44.46</v>
      </c>
      <c r="K154" s="2">
        <v>9.77</v>
      </c>
    </row>
    <row r="155" ht="15.75" customHeight="1">
      <c r="A155" s="2" t="s">
        <v>252</v>
      </c>
      <c r="B155" s="3">
        <v>45912.0</v>
      </c>
      <c r="C155" s="2" t="s">
        <v>185</v>
      </c>
      <c r="D155" s="2" t="s">
        <v>48</v>
      </c>
      <c r="E155" s="4" t="s">
        <v>24</v>
      </c>
      <c r="F155" s="2" t="s">
        <v>25</v>
      </c>
      <c r="G155" s="2">
        <v>7.0</v>
      </c>
      <c r="H155" s="2">
        <v>22.56</v>
      </c>
      <c r="I155" s="2">
        <v>0.0</v>
      </c>
      <c r="J155" s="2">
        <v>157.92</v>
      </c>
      <c r="K155" s="2">
        <v>53.0</v>
      </c>
    </row>
    <row r="156" ht="15.75" customHeight="1">
      <c r="A156" s="2" t="s">
        <v>253</v>
      </c>
      <c r="B156" s="3">
        <v>45921.0</v>
      </c>
      <c r="C156" s="2" t="s">
        <v>192</v>
      </c>
      <c r="D156" s="2" t="s">
        <v>13</v>
      </c>
      <c r="E156" s="2" t="s">
        <v>37</v>
      </c>
      <c r="F156" s="2" t="s">
        <v>25</v>
      </c>
      <c r="G156" s="2">
        <v>7.0</v>
      </c>
      <c r="H156" s="2">
        <v>35.39</v>
      </c>
      <c r="I156" s="2">
        <v>0.1</v>
      </c>
      <c r="J156" s="2">
        <v>222.95</v>
      </c>
      <c r="K156" s="2">
        <v>59.9</v>
      </c>
    </row>
    <row r="157" ht="15.75" customHeight="1">
      <c r="A157" s="2" t="s">
        <v>254</v>
      </c>
      <c r="B157" s="3">
        <v>45822.0</v>
      </c>
      <c r="C157" s="2" t="s">
        <v>100</v>
      </c>
      <c r="D157" s="2" t="s">
        <v>19</v>
      </c>
      <c r="E157" s="2" t="s">
        <v>32</v>
      </c>
      <c r="F157" s="2" t="s">
        <v>33</v>
      </c>
      <c r="G157" s="2">
        <v>8.0</v>
      </c>
      <c r="H157" s="2">
        <v>33.14</v>
      </c>
      <c r="I157" s="2">
        <v>0.1</v>
      </c>
      <c r="J157" s="2">
        <v>238.59</v>
      </c>
      <c r="K157" s="2">
        <v>51.05</v>
      </c>
    </row>
    <row r="158" ht="15.75" customHeight="1">
      <c r="A158" s="2" t="s">
        <v>255</v>
      </c>
      <c r="B158" s="3">
        <v>45818.0</v>
      </c>
      <c r="C158" s="2" t="s">
        <v>234</v>
      </c>
      <c r="D158" s="2" t="s">
        <v>19</v>
      </c>
      <c r="E158" s="2" t="s">
        <v>72</v>
      </c>
      <c r="F158" s="2" t="s">
        <v>73</v>
      </c>
      <c r="G158" s="2">
        <v>7.0</v>
      </c>
      <c r="H158" s="2">
        <v>63.17</v>
      </c>
      <c r="I158" s="2">
        <v>0.0</v>
      </c>
      <c r="J158" s="2">
        <v>442.19</v>
      </c>
      <c r="K158" s="2">
        <v>112.03</v>
      </c>
    </row>
    <row r="159" ht="15.75" customHeight="1">
      <c r="A159" s="2" t="s">
        <v>256</v>
      </c>
      <c r="B159" s="3">
        <v>45659.0</v>
      </c>
      <c r="C159" s="2" t="s">
        <v>61</v>
      </c>
      <c r="D159" s="2" t="s">
        <v>13</v>
      </c>
      <c r="E159" s="2" t="s">
        <v>56</v>
      </c>
      <c r="F159" s="2" t="s">
        <v>25</v>
      </c>
      <c r="G159" s="2">
        <v>8.0</v>
      </c>
      <c r="H159" s="2">
        <v>45.55</v>
      </c>
      <c r="I159" s="2">
        <v>0.05</v>
      </c>
      <c r="J159" s="2">
        <v>346.21</v>
      </c>
      <c r="K159" s="2">
        <v>102.38</v>
      </c>
    </row>
    <row r="160" ht="15.75" customHeight="1">
      <c r="A160" s="2" t="s">
        <v>257</v>
      </c>
      <c r="B160" s="3">
        <v>45776.0</v>
      </c>
      <c r="C160" s="2" t="s">
        <v>79</v>
      </c>
      <c r="D160" s="2" t="s">
        <v>23</v>
      </c>
      <c r="E160" s="2" t="s">
        <v>53</v>
      </c>
      <c r="F160" s="2" t="s">
        <v>25</v>
      </c>
      <c r="G160" s="2">
        <v>4.0</v>
      </c>
      <c r="H160" s="2">
        <v>53.56</v>
      </c>
      <c r="I160" s="2">
        <v>0.1</v>
      </c>
      <c r="J160" s="2">
        <v>192.8</v>
      </c>
      <c r="K160" s="2">
        <v>59.26</v>
      </c>
    </row>
    <row r="161" ht="15.75" customHeight="1">
      <c r="A161" s="2" t="s">
        <v>258</v>
      </c>
      <c r="B161" s="3">
        <v>46012.0</v>
      </c>
      <c r="C161" s="2" t="s">
        <v>31</v>
      </c>
      <c r="D161" s="2" t="s">
        <v>48</v>
      </c>
      <c r="E161" s="2" t="s">
        <v>53</v>
      </c>
      <c r="F161" s="2" t="s">
        <v>25</v>
      </c>
      <c r="G161" s="2">
        <v>5.0</v>
      </c>
      <c r="H161" s="2">
        <v>54.2</v>
      </c>
      <c r="I161" s="2">
        <v>0.05</v>
      </c>
      <c r="J161" s="2">
        <v>257.46</v>
      </c>
      <c r="K161" s="2">
        <v>75.38</v>
      </c>
    </row>
    <row r="162" ht="15.75" customHeight="1">
      <c r="A162" s="2" t="s">
        <v>259</v>
      </c>
      <c r="B162" s="3">
        <v>45872.0</v>
      </c>
      <c r="C162" s="2" t="s">
        <v>66</v>
      </c>
      <c r="D162" s="2" t="s">
        <v>19</v>
      </c>
      <c r="E162" s="2" t="s">
        <v>72</v>
      </c>
      <c r="F162" s="2" t="s">
        <v>73</v>
      </c>
      <c r="G162" s="2">
        <v>4.0</v>
      </c>
      <c r="H162" s="2">
        <v>61.26</v>
      </c>
      <c r="I162" s="2">
        <v>0.1</v>
      </c>
      <c r="J162" s="2">
        <v>220.53</v>
      </c>
      <c r="K162" s="2">
        <v>62.3</v>
      </c>
    </row>
    <row r="163" ht="15.75" customHeight="1">
      <c r="A163" s="2" t="s">
        <v>260</v>
      </c>
      <c r="B163" s="3">
        <v>45938.0</v>
      </c>
      <c r="C163" s="2" t="s">
        <v>261</v>
      </c>
      <c r="D163" s="2" t="s">
        <v>19</v>
      </c>
      <c r="E163" s="4" t="s">
        <v>24</v>
      </c>
      <c r="F163" s="2" t="s">
        <v>25</v>
      </c>
      <c r="G163" s="2">
        <v>3.0</v>
      </c>
      <c r="H163" s="2">
        <v>22.04</v>
      </c>
      <c r="I163" s="2">
        <v>0.1</v>
      </c>
      <c r="J163" s="2">
        <v>59.52</v>
      </c>
      <c r="K163" s="2">
        <v>14.3</v>
      </c>
    </row>
    <row r="164" ht="15.75" customHeight="1">
      <c r="A164" s="2" t="s">
        <v>263</v>
      </c>
      <c r="B164" s="3">
        <v>45766.0</v>
      </c>
      <c r="C164" s="2" t="s">
        <v>192</v>
      </c>
      <c r="D164" s="2" t="s">
        <v>13</v>
      </c>
      <c r="E164" s="2" t="s">
        <v>72</v>
      </c>
      <c r="F164" s="2" t="s">
        <v>73</v>
      </c>
      <c r="G164" s="2">
        <v>6.0</v>
      </c>
      <c r="H164" s="2">
        <v>68.48</v>
      </c>
      <c r="I164" s="2">
        <v>0.15</v>
      </c>
      <c r="J164" s="2">
        <v>349.26</v>
      </c>
      <c r="K164" s="2">
        <v>96.0</v>
      </c>
    </row>
    <row r="165" ht="15.75" customHeight="1">
      <c r="A165" s="2" t="s">
        <v>264</v>
      </c>
      <c r="B165" s="3">
        <v>45698.0</v>
      </c>
      <c r="C165" s="2" t="s">
        <v>225</v>
      </c>
      <c r="D165" s="2" t="s">
        <v>48</v>
      </c>
      <c r="E165" s="2" t="s">
        <v>53</v>
      </c>
      <c r="F165" s="2" t="s">
        <v>25</v>
      </c>
      <c r="G165" s="2">
        <v>3.0</v>
      </c>
      <c r="H165" s="2">
        <v>57.84</v>
      </c>
      <c r="I165" s="2">
        <v>0.05</v>
      </c>
      <c r="J165" s="2">
        <v>164.84</v>
      </c>
      <c r="K165" s="2">
        <v>35.77</v>
      </c>
    </row>
    <row r="166" ht="15.75" customHeight="1">
      <c r="A166" s="2" t="s">
        <v>265</v>
      </c>
      <c r="B166" s="3">
        <v>46019.0</v>
      </c>
      <c r="C166" s="2" t="s">
        <v>18</v>
      </c>
      <c r="D166" s="2" t="s">
        <v>19</v>
      </c>
      <c r="E166" s="2" t="s">
        <v>37</v>
      </c>
      <c r="F166" s="2" t="s">
        <v>25</v>
      </c>
      <c r="G166" s="2">
        <v>5.0</v>
      </c>
      <c r="H166" s="2">
        <v>35.85</v>
      </c>
      <c r="I166" s="2">
        <v>0.1</v>
      </c>
      <c r="J166" s="2">
        <v>161.32</v>
      </c>
      <c r="K166" s="2">
        <v>54.64</v>
      </c>
    </row>
    <row r="167" ht="15.75" customHeight="1">
      <c r="A167" s="2" t="s">
        <v>267</v>
      </c>
      <c r="B167" s="3">
        <v>45894.0</v>
      </c>
      <c r="C167" s="2" t="s">
        <v>168</v>
      </c>
      <c r="D167" s="2" t="s">
        <v>19</v>
      </c>
      <c r="E167" s="2" t="s">
        <v>56</v>
      </c>
      <c r="F167" s="2" t="s">
        <v>25</v>
      </c>
      <c r="G167" s="2">
        <v>1.0</v>
      </c>
      <c r="H167" s="2">
        <v>46.21</v>
      </c>
      <c r="I167" s="2">
        <v>0.1</v>
      </c>
      <c r="J167" s="2">
        <v>41.59</v>
      </c>
      <c r="K167" s="2">
        <v>13.72</v>
      </c>
    </row>
    <row r="168" ht="15.75" customHeight="1">
      <c r="A168" s="2" t="s">
        <v>270</v>
      </c>
      <c r="B168" s="15"/>
      <c r="C168" s="2" t="s">
        <v>239</v>
      </c>
      <c r="D168" s="2" t="s">
        <v>23</v>
      </c>
      <c r="E168" s="2" t="s">
        <v>14</v>
      </c>
      <c r="F168" s="2" t="s">
        <v>15</v>
      </c>
      <c r="G168" s="2">
        <v>2.0</v>
      </c>
      <c r="H168" s="2">
        <v>223.92</v>
      </c>
      <c r="I168" s="2">
        <v>0.05</v>
      </c>
      <c r="J168" s="2">
        <v>425.46</v>
      </c>
      <c r="K168" s="2">
        <v>129.07</v>
      </c>
    </row>
    <row r="169" ht="15.75" customHeight="1">
      <c r="A169" s="2" t="s">
        <v>271</v>
      </c>
      <c r="B169" s="3">
        <v>45939.0</v>
      </c>
      <c r="C169" s="2" t="s">
        <v>43</v>
      </c>
      <c r="D169" s="2" t="s">
        <v>19</v>
      </c>
      <c r="E169" s="4" t="s">
        <v>24</v>
      </c>
      <c r="F169" s="2" t="s">
        <v>25</v>
      </c>
      <c r="G169" s="2">
        <v>4.0</v>
      </c>
      <c r="H169" s="2">
        <v>23.61</v>
      </c>
      <c r="I169" s="2">
        <v>0.0</v>
      </c>
      <c r="J169" s="2">
        <v>94.46</v>
      </c>
      <c r="K169" s="2">
        <v>34.19</v>
      </c>
    </row>
    <row r="170" ht="15.75" customHeight="1">
      <c r="A170" s="2" t="s">
        <v>272</v>
      </c>
      <c r="B170" s="3">
        <v>45889.0</v>
      </c>
      <c r="C170" s="2" t="s">
        <v>116</v>
      </c>
      <c r="D170" s="2" t="s">
        <v>48</v>
      </c>
      <c r="E170" s="2" t="s">
        <v>56</v>
      </c>
      <c r="F170" s="2" t="s">
        <v>25</v>
      </c>
      <c r="G170" s="2">
        <v>8.0</v>
      </c>
      <c r="H170" s="2">
        <v>47.52</v>
      </c>
      <c r="I170" s="2">
        <v>0.1</v>
      </c>
      <c r="J170" s="2">
        <v>342.13</v>
      </c>
      <c r="K170" s="2">
        <v>80.64</v>
      </c>
    </row>
    <row r="171" ht="15.75" customHeight="1">
      <c r="A171" s="2" t="s">
        <v>273</v>
      </c>
      <c r="B171" s="3">
        <v>45946.0</v>
      </c>
      <c r="C171" s="2" t="s">
        <v>12</v>
      </c>
      <c r="D171" s="2" t="s">
        <v>23</v>
      </c>
      <c r="E171" s="4" t="s">
        <v>24</v>
      </c>
      <c r="F171" s="2" t="s">
        <v>25</v>
      </c>
      <c r="G171" s="2">
        <v>7.0</v>
      </c>
      <c r="H171" s="2">
        <v>22.58</v>
      </c>
      <c r="I171" s="2">
        <v>0.15</v>
      </c>
      <c r="J171" s="2">
        <v>134.33</v>
      </c>
      <c r="K171" s="2">
        <v>31.36</v>
      </c>
    </row>
    <row r="172" ht="15.75" customHeight="1">
      <c r="A172" s="2" t="s">
        <v>274</v>
      </c>
      <c r="B172" s="3">
        <v>46022.0</v>
      </c>
      <c r="C172" s="2" t="s">
        <v>142</v>
      </c>
      <c r="D172" s="2" t="s">
        <v>48</v>
      </c>
      <c r="E172" s="2" t="s">
        <v>14</v>
      </c>
      <c r="F172" s="2" t="s">
        <v>15</v>
      </c>
      <c r="G172" s="2">
        <v>4.0</v>
      </c>
      <c r="H172" s="2">
        <v>198.64</v>
      </c>
      <c r="I172" s="2">
        <v>0.1</v>
      </c>
      <c r="J172" s="2">
        <v>715.12</v>
      </c>
      <c r="K172" s="2">
        <v>150.69</v>
      </c>
    </row>
    <row r="173" ht="15.75" customHeight="1">
      <c r="A173" s="2" t="s">
        <v>275</v>
      </c>
      <c r="B173" s="3">
        <v>45786.0</v>
      </c>
      <c r="C173" s="2" t="s">
        <v>203</v>
      </c>
      <c r="D173" s="2" t="s">
        <v>19</v>
      </c>
      <c r="E173" s="2" t="s">
        <v>37</v>
      </c>
      <c r="F173" s="2" t="s">
        <v>25</v>
      </c>
      <c r="G173" s="2">
        <v>2.0</v>
      </c>
      <c r="H173" s="2">
        <v>34.86</v>
      </c>
      <c r="I173" s="2">
        <v>0.0</v>
      </c>
      <c r="J173" s="2">
        <v>69.71</v>
      </c>
      <c r="K173" s="2">
        <v>21.59</v>
      </c>
    </row>
    <row r="174" ht="15.75" customHeight="1">
      <c r="A174" s="2" t="s">
        <v>276</v>
      </c>
      <c r="B174" s="3">
        <v>45886.0</v>
      </c>
      <c r="C174" s="2" t="s">
        <v>70</v>
      </c>
      <c r="D174" s="2" t="s">
        <v>23</v>
      </c>
      <c r="E174" s="2" t="s">
        <v>56</v>
      </c>
      <c r="F174" s="2" t="s">
        <v>25</v>
      </c>
      <c r="G174" s="2">
        <v>8.0</v>
      </c>
      <c r="H174" s="2">
        <v>47.5</v>
      </c>
      <c r="I174" s="2">
        <v>0.0</v>
      </c>
      <c r="J174" s="2">
        <v>380.0</v>
      </c>
      <c r="K174" s="2">
        <v>82.15</v>
      </c>
    </row>
    <row r="175" ht="15.75" customHeight="1">
      <c r="A175" s="2" t="s">
        <v>277</v>
      </c>
      <c r="B175" s="3">
        <v>45962.0</v>
      </c>
      <c r="C175" s="2" t="s">
        <v>243</v>
      </c>
      <c r="D175" s="2" t="s">
        <v>48</v>
      </c>
      <c r="E175" s="2" t="s">
        <v>56</v>
      </c>
      <c r="F175" s="2" t="s">
        <v>25</v>
      </c>
      <c r="G175" s="2">
        <v>6.0</v>
      </c>
      <c r="H175" s="2">
        <v>44.2</v>
      </c>
      <c r="I175" s="2">
        <v>0.0</v>
      </c>
      <c r="J175" s="2">
        <v>265.2</v>
      </c>
      <c r="K175" s="2">
        <v>84.09</v>
      </c>
    </row>
    <row r="176" ht="15.75" customHeight="1">
      <c r="A176" s="2" t="s">
        <v>278</v>
      </c>
      <c r="B176" s="3">
        <v>45996.0</v>
      </c>
      <c r="C176" s="2" t="s">
        <v>185</v>
      </c>
      <c r="D176" s="2" t="s">
        <v>13</v>
      </c>
      <c r="E176" s="2" t="s">
        <v>37</v>
      </c>
      <c r="F176" s="2" t="s">
        <v>25</v>
      </c>
      <c r="G176" s="2">
        <v>7.0</v>
      </c>
      <c r="H176" s="2">
        <v>35.12</v>
      </c>
      <c r="I176" s="2">
        <v>0.0</v>
      </c>
      <c r="J176" s="2">
        <v>245.83</v>
      </c>
      <c r="K176" s="2">
        <v>46.31</v>
      </c>
    </row>
    <row r="177" ht="15.75" customHeight="1">
      <c r="A177" s="2" t="s">
        <v>279</v>
      </c>
      <c r="B177" s="3">
        <v>45682.0</v>
      </c>
      <c r="C177" s="2" t="s">
        <v>150</v>
      </c>
      <c r="D177" s="2" t="s">
        <v>19</v>
      </c>
      <c r="E177" s="2" t="s">
        <v>53</v>
      </c>
      <c r="F177" s="2" t="s">
        <v>25</v>
      </c>
      <c r="G177" s="2">
        <v>1.0</v>
      </c>
      <c r="H177" s="2">
        <v>56.4</v>
      </c>
      <c r="I177" s="2">
        <v>0.05</v>
      </c>
      <c r="J177" s="2">
        <v>53.58</v>
      </c>
      <c r="K177" s="2">
        <v>11.26</v>
      </c>
    </row>
    <row r="178" ht="15.75" customHeight="1">
      <c r="A178" s="2" t="s">
        <v>280</v>
      </c>
      <c r="B178" s="3">
        <v>45945.0</v>
      </c>
      <c r="C178" s="2" t="s">
        <v>137</v>
      </c>
      <c r="D178" s="2" t="s">
        <v>23</v>
      </c>
      <c r="E178" s="2" t="s">
        <v>39</v>
      </c>
      <c r="F178" s="2" t="s">
        <v>25</v>
      </c>
      <c r="G178" s="2">
        <v>7.0</v>
      </c>
      <c r="H178" s="2">
        <v>40.21</v>
      </c>
      <c r="I178" s="2">
        <v>0.0</v>
      </c>
      <c r="J178" s="2">
        <v>281.44</v>
      </c>
      <c r="K178" s="2">
        <v>69.24</v>
      </c>
    </row>
    <row r="179" ht="15.75" customHeight="1">
      <c r="A179" s="2" t="s">
        <v>281</v>
      </c>
      <c r="B179" s="3">
        <v>45927.0</v>
      </c>
      <c r="C179" s="2" t="s">
        <v>77</v>
      </c>
      <c r="D179" s="2" t="s">
        <v>19</v>
      </c>
      <c r="E179" s="2" t="s">
        <v>14</v>
      </c>
      <c r="F179" s="2" t="s">
        <v>15</v>
      </c>
      <c r="G179" s="2">
        <v>1.0</v>
      </c>
      <c r="H179" s="2">
        <v>199.27</v>
      </c>
      <c r="I179" s="2">
        <v>0.05</v>
      </c>
      <c r="J179" s="2">
        <v>189.3</v>
      </c>
      <c r="K179" s="2">
        <v>37.27</v>
      </c>
    </row>
    <row r="180" ht="15.75" customHeight="1">
      <c r="A180" s="2" t="s">
        <v>282</v>
      </c>
      <c r="B180" s="3">
        <v>45739.0</v>
      </c>
      <c r="C180" s="2" t="s">
        <v>94</v>
      </c>
      <c r="D180" s="2" t="s">
        <v>48</v>
      </c>
      <c r="E180" s="2" t="s">
        <v>14</v>
      </c>
      <c r="F180" s="2" t="s">
        <v>15</v>
      </c>
      <c r="G180" s="2">
        <v>1.0</v>
      </c>
      <c r="H180" s="2">
        <v>199.67</v>
      </c>
      <c r="I180" s="2">
        <v>0.0</v>
      </c>
      <c r="J180" s="2">
        <v>199.67</v>
      </c>
      <c r="K180" s="2">
        <v>59.03</v>
      </c>
    </row>
    <row r="181" ht="3.75" customHeight="1">
      <c r="A181" s="2" t="s">
        <v>283</v>
      </c>
      <c r="B181" s="3">
        <v>45671.0</v>
      </c>
      <c r="C181" s="2" t="s">
        <v>94</v>
      </c>
      <c r="D181" s="2" t="s">
        <v>23</v>
      </c>
      <c r="E181" s="2" t="s">
        <v>39</v>
      </c>
      <c r="F181" s="2" t="s">
        <v>25</v>
      </c>
      <c r="G181" s="2">
        <v>7.0</v>
      </c>
      <c r="H181" s="2">
        <v>38.72</v>
      </c>
      <c r="I181" s="2">
        <v>0.05</v>
      </c>
      <c r="J181" s="2">
        <v>257.49</v>
      </c>
      <c r="K181" s="2">
        <v>64.65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1000">
    <cfRule type="expression" dxfId="0" priority="1">
      <formula>COUNTIF($A$2:$A1000,A2)&gt;1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1.14"/>
    <col customWidth="1" min="3" max="3" width="17.14"/>
    <col customWidth="1" min="4" max="4" width="12.86"/>
    <col customWidth="1" min="5" max="5" width="18.0"/>
    <col customWidth="1" min="6" max="6" width="17.0"/>
    <col customWidth="1" min="7" max="7" width="14.57"/>
    <col customWidth="1" min="8" max="8" width="14.0"/>
    <col customWidth="1" min="9" max="9" width="15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45760.0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4.0</v>
      </c>
      <c r="H2" s="2">
        <v>225.14</v>
      </c>
      <c r="I2" s="2">
        <v>0.1</v>
      </c>
      <c r="J2" s="2">
        <v>810.52</v>
      </c>
      <c r="K2" s="2">
        <v>210.95</v>
      </c>
      <c r="M2" s="4" t="s">
        <v>16</v>
      </c>
    </row>
    <row r="3">
      <c r="A3" s="2" t="s">
        <v>17</v>
      </c>
      <c r="B3" s="3">
        <v>45788.0</v>
      </c>
      <c r="C3" s="2" t="s">
        <v>18</v>
      </c>
      <c r="D3" s="2" t="s">
        <v>19</v>
      </c>
      <c r="E3" s="2" t="s">
        <v>14</v>
      </c>
      <c r="F3" s="2" t="s">
        <v>15</v>
      </c>
      <c r="G3" s="2">
        <v>3.0</v>
      </c>
      <c r="H3" s="2">
        <v>208.63</v>
      </c>
      <c r="I3" s="2">
        <v>0.0</v>
      </c>
      <c r="J3" s="2">
        <v>625.89</v>
      </c>
      <c r="K3" s="2">
        <v>219.96</v>
      </c>
      <c r="M3" s="4" t="s">
        <v>20</v>
      </c>
    </row>
    <row r="4">
      <c r="A4" s="2" t="s">
        <v>21</v>
      </c>
      <c r="B4" s="3">
        <v>45934.0</v>
      </c>
      <c r="C4" s="2" t="s">
        <v>22</v>
      </c>
      <c r="D4" s="2" t="s">
        <v>23</v>
      </c>
      <c r="E4" s="4" t="s">
        <v>24</v>
      </c>
      <c r="F4" s="2" t="s">
        <v>25</v>
      </c>
      <c r="G4" s="2">
        <v>8.0</v>
      </c>
      <c r="H4" s="2">
        <v>23.17</v>
      </c>
      <c r="I4" s="2">
        <v>0.0</v>
      </c>
      <c r="J4" s="2">
        <v>185.36</v>
      </c>
      <c r="K4" s="2">
        <v>63.7</v>
      </c>
      <c r="M4" s="4" t="s">
        <v>26</v>
      </c>
    </row>
    <row r="5">
      <c r="A5" s="2" t="s">
        <v>27</v>
      </c>
      <c r="B5" s="3">
        <v>45827.0</v>
      </c>
      <c r="C5" s="2" t="s">
        <v>28</v>
      </c>
      <c r="D5" s="2" t="s">
        <v>23</v>
      </c>
      <c r="E5" s="4" t="s">
        <v>24</v>
      </c>
      <c r="F5" s="2" t="s">
        <v>25</v>
      </c>
      <c r="G5" s="2">
        <v>6.0</v>
      </c>
      <c r="H5" s="2">
        <v>20.26</v>
      </c>
      <c r="I5" s="2">
        <v>0.0</v>
      </c>
      <c r="J5" s="2">
        <v>121.59</v>
      </c>
      <c r="K5" s="2">
        <v>33.44</v>
      </c>
      <c r="M5" s="4" t="s">
        <v>29</v>
      </c>
    </row>
    <row r="6">
      <c r="A6" s="2" t="s">
        <v>30</v>
      </c>
      <c r="B6" s="3">
        <v>45712.0</v>
      </c>
      <c r="C6" s="2" t="s">
        <v>31</v>
      </c>
      <c r="D6" s="2" t="s">
        <v>23</v>
      </c>
      <c r="E6" s="2" t="s">
        <v>32</v>
      </c>
      <c r="F6" s="2" t="s">
        <v>33</v>
      </c>
      <c r="G6" s="2">
        <v>7.0</v>
      </c>
      <c r="H6" s="2">
        <v>31.78</v>
      </c>
      <c r="I6" s="2">
        <v>0.1</v>
      </c>
      <c r="J6" s="2">
        <v>200.18</v>
      </c>
      <c r="K6" s="2">
        <v>68.08</v>
      </c>
      <c r="M6" s="4" t="s">
        <v>34</v>
      </c>
    </row>
    <row r="7">
      <c r="A7" s="2" t="s">
        <v>35</v>
      </c>
      <c r="B7" s="3">
        <v>45931.0</v>
      </c>
      <c r="C7" s="2" t="s">
        <v>36</v>
      </c>
      <c r="D7" s="2" t="s">
        <v>19</v>
      </c>
      <c r="E7" s="2" t="s">
        <v>37</v>
      </c>
      <c r="F7" s="2" t="s">
        <v>25</v>
      </c>
      <c r="G7" s="2">
        <v>3.0</v>
      </c>
      <c r="H7" s="2">
        <v>37.02</v>
      </c>
      <c r="I7" s="2">
        <v>0.05</v>
      </c>
      <c r="J7" s="2">
        <v>105.49</v>
      </c>
      <c r="K7" s="2">
        <v>30.58</v>
      </c>
    </row>
    <row r="8">
      <c r="A8" s="2" t="s">
        <v>38</v>
      </c>
      <c r="B8" s="3">
        <v>45997.0</v>
      </c>
      <c r="C8" s="2" t="s">
        <v>28</v>
      </c>
      <c r="D8" s="2" t="s">
        <v>13</v>
      </c>
      <c r="E8" s="2" t="s">
        <v>39</v>
      </c>
      <c r="F8" s="2" t="s">
        <v>25</v>
      </c>
      <c r="G8" s="2">
        <v>6.0</v>
      </c>
      <c r="H8" s="2">
        <v>40.92</v>
      </c>
      <c r="I8" s="2">
        <v>0.0</v>
      </c>
      <c r="J8" s="2">
        <v>245.55</v>
      </c>
      <c r="K8" s="2">
        <v>88.51</v>
      </c>
    </row>
    <row r="9">
      <c r="A9" s="2" t="s">
        <v>40</v>
      </c>
      <c r="B9" s="3">
        <v>45738.0</v>
      </c>
      <c r="C9" s="2" t="s">
        <v>41</v>
      </c>
      <c r="D9" s="4" t="s">
        <v>19</v>
      </c>
      <c r="E9" s="2" t="s">
        <v>39</v>
      </c>
      <c r="F9" s="2" t="s">
        <v>25</v>
      </c>
      <c r="G9" s="2">
        <v>7.0</v>
      </c>
      <c r="H9" s="2">
        <v>39.69</v>
      </c>
      <c r="I9" s="2">
        <v>0.1</v>
      </c>
      <c r="J9" s="2">
        <v>250.02</v>
      </c>
      <c r="K9" s="2">
        <v>86.34</v>
      </c>
    </row>
    <row r="10">
      <c r="A10" s="2" t="s">
        <v>42</v>
      </c>
      <c r="B10" s="3">
        <v>45967.0</v>
      </c>
      <c r="C10" s="2" t="s">
        <v>43</v>
      </c>
      <c r="D10" s="2" t="s">
        <v>13</v>
      </c>
      <c r="E10" s="2" t="s">
        <v>32</v>
      </c>
      <c r="F10" s="2" t="s">
        <v>33</v>
      </c>
      <c r="G10" s="2">
        <v>4.0</v>
      </c>
      <c r="H10" s="2">
        <v>31.04</v>
      </c>
      <c r="I10" s="2">
        <v>0.05</v>
      </c>
      <c r="J10" s="2">
        <v>117.94</v>
      </c>
      <c r="K10" s="2">
        <v>31.92</v>
      </c>
    </row>
    <row r="11">
      <c r="A11" s="2" t="s">
        <v>44</v>
      </c>
      <c r="B11" s="3">
        <v>46008.0</v>
      </c>
      <c r="C11" s="2" t="s">
        <v>45</v>
      </c>
      <c r="D11" s="2" t="s">
        <v>13</v>
      </c>
      <c r="E11" s="4" t="s">
        <v>24</v>
      </c>
      <c r="F11" s="2" t="s">
        <v>25</v>
      </c>
      <c r="G11" s="2">
        <v>2.0</v>
      </c>
      <c r="H11" s="2">
        <v>21.82</v>
      </c>
      <c r="I11" s="2">
        <v>0.05</v>
      </c>
      <c r="J11" s="2">
        <v>41.46</v>
      </c>
      <c r="K11" s="2">
        <v>8.07</v>
      </c>
    </row>
    <row r="12">
      <c r="A12" s="2" t="s">
        <v>46</v>
      </c>
      <c r="B12" s="3">
        <v>45865.0</v>
      </c>
      <c r="C12" s="2" t="s">
        <v>47</v>
      </c>
      <c r="D12" s="2" t="s">
        <v>48</v>
      </c>
      <c r="E12" s="2" t="s">
        <v>32</v>
      </c>
      <c r="F12" s="2" t="s">
        <v>33</v>
      </c>
      <c r="G12" s="2">
        <v>6.0</v>
      </c>
      <c r="H12" s="2">
        <v>30.44</v>
      </c>
      <c r="I12" s="2">
        <v>0.0</v>
      </c>
      <c r="J12" s="2">
        <v>182.66</v>
      </c>
      <c r="K12" s="2">
        <v>57.53</v>
      </c>
    </row>
    <row r="13">
      <c r="A13" s="2" t="s">
        <v>49</v>
      </c>
      <c r="B13" s="3">
        <v>45698.0</v>
      </c>
      <c r="C13" s="2" t="s">
        <v>43</v>
      </c>
      <c r="D13" s="2" t="s">
        <v>13</v>
      </c>
      <c r="E13" s="2" t="s">
        <v>14</v>
      </c>
      <c r="F13" s="2" t="s">
        <v>15</v>
      </c>
      <c r="G13" s="2">
        <v>5.0</v>
      </c>
      <c r="H13" s="2">
        <v>212.91</v>
      </c>
      <c r="I13" s="2">
        <v>0.15</v>
      </c>
      <c r="J13" s="2">
        <v>904.89</v>
      </c>
      <c r="K13" s="2">
        <v>234.0</v>
      </c>
    </row>
    <row r="14">
      <c r="A14" s="2" t="s">
        <v>51</v>
      </c>
      <c r="B14" s="3">
        <v>45793.0</v>
      </c>
      <c r="C14" s="2" t="s">
        <v>52</v>
      </c>
      <c r="D14" s="2" t="s">
        <v>13</v>
      </c>
      <c r="E14" s="2" t="s">
        <v>53</v>
      </c>
      <c r="F14" s="2" t="s">
        <v>25</v>
      </c>
      <c r="G14" s="2">
        <v>1.0</v>
      </c>
      <c r="H14" s="2">
        <v>50.74</v>
      </c>
      <c r="I14" s="2">
        <v>0.05</v>
      </c>
      <c r="J14" s="2">
        <v>48.2</v>
      </c>
      <c r="K14" s="2">
        <v>14.51</v>
      </c>
    </row>
    <row r="15">
      <c r="A15" s="2" t="s">
        <v>54</v>
      </c>
      <c r="B15" s="3">
        <v>45918.0</v>
      </c>
      <c r="C15" s="2" t="s">
        <v>55</v>
      </c>
      <c r="D15" s="2" t="s">
        <v>13</v>
      </c>
      <c r="E15" s="2" t="s">
        <v>56</v>
      </c>
      <c r="F15" s="2" t="s">
        <v>25</v>
      </c>
      <c r="G15" s="2">
        <v>3.0</v>
      </c>
      <c r="H15" s="2">
        <v>49.59</v>
      </c>
      <c r="I15" s="2">
        <v>0.1</v>
      </c>
      <c r="J15" s="2">
        <v>133.89</v>
      </c>
      <c r="K15" s="2">
        <v>30.22</v>
      </c>
    </row>
    <row r="16">
      <c r="A16" s="2" t="s">
        <v>58</v>
      </c>
      <c r="B16" s="3">
        <v>45690.0</v>
      </c>
      <c r="C16" s="2" t="s">
        <v>45</v>
      </c>
      <c r="D16" s="2" t="s">
        <v>13</v>
      </c>
      <c r="E16" s="4" t="s">
        <v>24</v>
      </c>
      <c r="F16" s="2" t="s">
        <v>25</v>
      </c>
      <c r="G16" s="2">
        <v>1.0</v>
      </c>
      <c r="H16" s="2">
        <v>23.46</v>
      </c>
      <c r="I16" s="2">
        <v>0.1</v>
      </c>
      <c r="J16" s="2">
        <v>21.11</v>
      </c>
      <c r="K16" s="2">
        <v>6.13</v>
      </c>
    </row>
    <row r="17">
      <c r="A17" s="2" t="s">
        <v>59</v>
      </c>
      <c r="B17" s="3">
        <v>45692.0</v>
      </c>
      <c r="C17" s="2" t="s">
        <v>61</v>
      </c>
      <c r="D17" s="2" t="s">
        <v>13</v>
      </c>
      <c r="E17" s="2" t="s">
        <v>14</v>
      </c>
      <c r="F17" s="2" t="s">
        <v>15</v>
      </c>
      <c r="G17" s="2">
        <v>6.0</v>
      </c>
      <c r="H17" s="2">
        <v>204.13</v>
      </c>
      <c r="I17" s="2">
        <v>0.1</v>
      </c>
      <c r="J17" s="2">
        <v>1102.28</v>
      </c>
      <c r="K17" s="2">
        <v>278.31</v>
      </c>
    </row>
    <row r="18">
      <c r="A18" s="2" t="s">
        <v>62</v>
      </c>
      <c r="B18" s="3">
        <v>45912.0</v>
      </c>
      <c r="C18" s="2" t="s">
        <v>64</v>
      </c>
      <c r="D18" s="2" t="s">
        <v>13</v>
      </c>
      <c r="E18" s="2" t="s">
        <v>53</v>
      </c>
      <c r="F18" s="2" t="s">
        <v>25</v>
      </c>
      <c r="G18" s="2">
        <v>7.0</v>
      </c>
      <c r="H18" s="2">
        <v>56.88</v>
      </c>
      <c r="I18" s="2">
        <v>0.1</v>
      </c>
      <c r="J18" s="2">
        <v>358.32</v>
      </c>
      <c r="K18" s="2">
        <v>95.94</v>
      </c>
    </row>
    <row r="19">
      <c r="A19" s="2" t="s">
        <v>65</v>
      </c>
      <c r="B19" s="3">
        <v>45836.0</v>
      </c>
      <c r="C19" s="2" t="s">
        <v>66</v>
      </c>
      <c r="D19" s="2" t="s">
        <v>13</v>
      </c>
      <c r="E19" s="2" t="s">
        <v>56</v>
      </c>
      <c r="F19" s="2" t="s">
        <v>25</v>
      </c>
      <c r="G19" s="2">
        <v>1.0</v>
      </c>
      <c r="H19" s="2">
        <v>49.62</v>
      </c>
      <c r="I19" s="2">
        <v>0.0</v>
      </c>
      <c r="J19" s="2">
        <v>49.62</v>
      </c>
      <c r="K19" s="2">
        <v>14.5</v>
      </c>
    </row>
    <row r="20">
      <c r="A20" s="2" t="s">
        <v>67</v>
      </c>
      <c r="B20" s="3">
        <v>45888.0</v>
      </c>
      <c r="C20" s="2" t="s">
        <v>47</v>
      </c>
      <c r="D20" s="2" t="s">
        <v>13</v>
      </c>
      <c r="E20" s="2" t="s">
        <v>37</v>
      </c>
      <c r="F20" s="2" t="s">
        <v>25</v>
      </c>
      <c r="G20" s="2">
        <v>4.0</v>
      </c>
      <c r="H20" s="2">
        <v>35.35</v>
      </c>
      <c r="I20" s="2">
        <v>0.05</v>
      </c>
      <c r="J20" s="2">
        <v>134.35</v>
      </c>
      <c r="K20" s="2">
        <v>47.31</v>
      </c>
    </row>
    <row r="21" ht="15.75" customHeight="1">
      <c r="A21" s="2" t="s">
        <v>68</v>
      </c>
      <c r="B21" s="3">
        <v>45743.0</v>
      </c>
      <c r="C21" s="2" t="s">
        <v>28</v>
      </c>
      <c r="D21" s="2" t="s">
        <v>48</v>
      </c>
      <c r="E21" s="2" t="s">
        <v>56</v>
      </c>
      <c r="F21" s="2" t="s">
        <v>25</v>
      </c>
      <c r="G21" s="2">
        <v>5.0</v>
      </c>
      <c r="H21" s="2">
        <v>45.92</v>
      </c>
      <c r="I21" s="2">
        <v>0.0</v>
      </c>
      <c r="J21" s="2">
        <v>229.59</v>
      </c>
      <c r="K21" s="2">
        <v>73.94</v>
      </c>
    </row>
    <row r="22" ht="15.75" customHeight="1">
      <c r="A22" s="2" t="s">
        <v>69</v>
      </c>
      <c r="B22" s="3">
        <v>45765.0</v>
      </c>
      <c r="C22" s="2" t="s">
        <v>70</v>
      </c>
      <c r="D22" s="2" t="s">
        <v>23</v>
      </c>
      <c r="E22" s="4" t="s">
        <v>24</v>
      </c>
      <c r="F22" s="2" t="s">
        <v>25</v>
      </c>
      <c r="G22" s="2">
        <v>5.0</v>
      </c>
      <c r="H22" s="2">
        <v>21.28</v>
      </c>
      <c r="I22" s="2">
        <v>0.0</v>
      </c>
      <c r="J22" s="2">
        <v>106.4</v>
      </c>
      <c r="K22" s="2">
        <v>30.72</v>
      </c>
    </row>
    <row r="23" ht="15.75" customHeight="1">
      <c r="A23" s="2" t="s">
        <v>71</v>
      </c>
      <c r="B23" s="3">
        <v>45888.0</v>
      </c>
      <c r="C23" s="2" t="s">
        <v>22</v>
      </c>
      <c r="D23" s="2" t="s">
        <v>19</v>
      </c>
      <c r="E23" s="2" t="s">
        <v>72</v>
      </c>
      <c r="F23" s="2" t="s">
        <v>73</v>
      </c>
      <c r="G23" s="2">
        <v>6.0</v>
      </c>
      <c r="H23" s="2">
        <v>65.41</v>
      </c>
      <c r="I23" s="2">
        <v>0.1</v>
      </c>
      <c r="J23" s="2">
        <v>353.21</v>
      </c>
      <c r="K23" s="2">
        <v>70.92</v>
      </c>
    </row>
    <row r="24" ht="15.75" customHeight="1">
      <c r="A24" s="2" t="s">
        <v>74</v>
      </c>
      <c r="B24" s="3">
        <v>46016.0</v>
      </c>
      <c r="C24" s="2" t="s">
        <v>75</v>
      </c>
      <c r="D24" s="2" t="s">
        <v>23</v>
      </c>
      <c r="E24" s="2" t="s">
        <v>37</v>
      </c>
      <c r="F24" s="2" t="s">
        <v>25</v>
      </c>
      <c r="G24" s="2">
        <v>3.0</v>
      </c>
      <c r="H24" s="2">
        <v>34.59</v>
      </c>
      <c r="I24" s="2">
        <v>0.1</v>
      </c>
      <c r="J24" s="2">
        <v>93.4</v>
      </c>
      <c r="K24" s="2">
        <v>19.41</v>
      </c>
    </row>
    <row r="25" ht="15.75" customHeight="1">
      <c r="A25" s="2" t="s">
        <v>76</v>
      </c>
      <c r="B25" s="3">
        <v>45809.0</v>
      </c>
      <c r="C25" s="2" t="s">
        <v>77</v>
      </c>
      <c r="D25" s="2" t="s">
        <v>13</v>
      </c>
      <c r="E25" s="2" t="s">
        <v>56</v>
      </c>
      <c r="F25" s="2" t="s">
        <v>25</v>
      </c>
      <c r="G25" s="2">
        <v>1.0</v>
      </c>
      <c r="H25" s="2">
        <v>47.88</v>
      </c>
      <c r="I25" s="2">
        <v>0.05</v>
      </c>
      <c r="J25" s="2">
        <v>45.49</v>
      </c>
      <c r="K25" s="2">
        <v>14.83</v>
      </c>
    </row>
    <row r="26" ht="15.75" customHeight="1">
      <c r="A26" s="2" t="s">
        <v>78</v>
      </c>
      <c r="B26" s="3">
        <v>45709.0</v>
      </c>
      <c r="C26" s="2" t="s">
        <v>79</v>
      </c>
      <c r="D26" s="2" t="s">
        <v>48</v>
      </c>
      <c r="E26" s="2" t="s">
        <v>72</v>
      </c>
      <c r="F26" s="2" t="s">
        <v>73</v>
      </c>
      <c r="G26" s="2">
        <v>8.0</v>
      </c>
      <c r="H26" s="2">
        <v>65.2</v>
      </c>
      <c r="I26" s="2">
        <v>0.1</v>
      </c>
      <c r="J26" s="2">
        <v>469.41</v>
      </c>
      <c r="K26" s="2">
        <v>144.24</v>
      </c>
    </row>
    <row r="27" ht="15.75" customHeight="1">
      <c r="A27" s="2" t="s">
        <v>80</v>
      </c>
      <c r="B27" s="3">
        <v>45844.0</v>
      </c>
      <c r="C27" s="2" t="s">
        <v>81</v>
      </c>
      <c r="D27" s="2" t="s">
        <v>48</v>
      </c>
      <c r="E27" s="2" t="s">
        <v>14</v>
      </c>
      <c r="F27" s="2" t="s">
        <v>15</v>
      </c>
      <c r="G27" s="2">
        <v>2.0</v>
      </c>
      <c r="H27" s="2">
        <v>217.13</v>
      </c>
      <c r="I27" s="2">
        <v>0.0</v>
      </c>
      <c r="J27" s="2">
        <v>434.26</v>
      </c>
      <c r="K27" s="2">
        <v>78.36</v>
      </c>
    </row>
    <row r="28" ht="15.75" customHeight="1">
      <c r="A28" s="2" t="s">
        <v>82</v>
      </c>
      <c r="B28" s="3">
        <v>45783.0</v>
      </c>
      <c r="C28" s="2" t="s">
        <v>83</v>
      </c>
      <c r="D28" s="2" t="s">
        <v>19</v>
      </c>
      <c r="E28" s="4" t="s">
        <v>24</v>
      </c>
      <c r="F28" s="2" t="s">
        <v>25</v>
      </c>
      <c r="G28" s="2">
        <v>4.0</v>
      </c>
      <c r="H28" s="2">
        <v>20.42</v>
      </c>
      <c r="I28" s="2">
        <v>0.0</v>
      </c>
      <c r="J28" s="2">
        <v>81.68</v>
      </c>
      <c r="K28" s="2">
        <v>16.2</v>
      </c>
    </row>
    <row r="29" ht="15.75" customHeight="1">
      <c r="A29" s="2" t="s">
        <v>84</v>
      </c>
      <c r="B29" s="3">
        <v>45860.0</v>
      </c>
      <c r="C29" s="2" t="s">
        <v>85</v>
      </c>
      <c r="D29" s="2" t="s">
        <v>13</v>
      </c>
      <c r="E29" s="2" t="s">
        <v>39</v>
      </c>
      <c r="F29" s="2" t="s">
        <v>25</v>
      </c>
      <c r="G29" s="2">
        <v>2.0</v>
      </c>
      <c r="H29" s="2">
        <v>42.03</v>
      </c>
      <c r="I29" s="2">
        <v>0.0</v>
      </c>
      <c r="J29" s="2">
        <v>84.06</v>
      </c>
      <c r="K29" s="2">
        <v>20.64</v>
      </c>
    </row>
    <row r="30" ht="15.75" customHeight="1">
      <c r="A30" s="2" t="s">
        <v>86</v>
      </c>
      <c r="B30" s="3">
        <v>45897.0</v>
      </c>
      <c r="C30" s="2" t="s">
        <v>87</v>
      </c>
      <c r="D30" s="2" t="s">
        <v>19</v>
      </c>
      <c r="E30" s="2" t="s">
        <v>37</v>
      </c>
      <c r="F30" s="2" t="s">
        <v>25</v>
      </c>
      <c r="G30" s="2">
        <v>7.0</v>
      </c>
      <c r="H30" s="2">
        <v>36.7</v>
      </c>
      <c r="I30" s="2">
        <v>0.05</v>
      </c>
      <c r="J30" s="2">
        <v>244.04</v>
      </c>
      <c r="K30" s="2">
        <v>44.74</v>
      </c>
    </row>
    <row r="31" ht="15.75" customHeight="1">
      <c r="A31" s="2" t="s">
        <v>88</v>
      </c>
      <c r="B31" s="3">
        <v>45909.0</v>
      </c>
      <c r="C31" s="2" t="s">
        <v>89</v>
      </c>
      <c r="D31" s="2" t="s">
        <v>23</v>
      </c>
      <c r="E31" s="2" t="s">
        <v>37</v>
      </c>
      <c r="F31" s="2" t="s">
        <v>25</v>
      </c>
      <c r="G31" s="2">
        <v>4.0</v>
      </c>
      <c r="H31" s="2">
        <v>35.05</v>
      </c>
      <c r="I31" s="2">
        <v>0.05</v>
      </c>
      <c r="J31" s="2">
        <v>133.17</v>
      </c>
      <c r="K31" s="2">
        <v>27.74</v>
      </c>
    </row>
    <row r="32" ht="15.75" customHeight="1">
      <c r="A32" s="2" t="s">
        <v>91</v>
      </c>
      <c r="B32" s="3">
        <v>45965.0</v>
      </c>
      <c r="C32" s="2" t="s">
        <v>92</v>
      </c>
      <c r="D32" s="2" t="s">
        <v>19</v>
      </c>
      <c r="E32" s="2" t="s">
        <v>56</v>
      </c>
      <c r="F32" s="2" t="s">
        <v>25</v>
      </c>
      <c r="G32" s="2">
        <v>2.0</v>
      </c>
      <c r="H32" s="2">
        <v>48.09</v>
      </c>
      <c r="I32" s="2">
        <v>0.0</v>
      </c>
      <c r="J32" s="2">
        <v>96.19</v>
      </c>
      <c r="K32" s="2">
        <v>24.14</v>
      </c>
    </row>
    <row r="33" ht="15.75" customHeight="1">
      <c r="A33" s="2" t="s">
        <v>93</v>
      </c>
      <c r="B33" s="3">
        <v>45808.0</v>
      </c>
      <c r="C33" s="2" t="s">
        <v>94</v>
      </c>
      <c r="D33" s="2" t="s">
        <v>48</v>
      </c>
      <c r="E33" s="2" t="s">
        <v>24</v>
      </c>
      <c r="F33" s="2" t="s">
        <v>33</v>
      </c>
      <c r="G33" s="2">
        <v>8.0</v>
      </c>
      <c r="H33" s="2">
        <v>32.09</v>
      </c>
      <c r="I33" s="2">
        <v>0.1</v>
      </c>
      <c r="J33" s="2">
        <v>231.05</v>
      </c>
      <c r="K33" s="2">
        <v>56.58</v>
      </c>
    </row>
    <row r="34" ht="15.75" customHeight="1">
      <c r="A34" s="2" t="s">
        <v>95</v>
      </c>
      <c r="B34" s="3">
        <v>45717.0</v>
      </c>
      <c r="C34" s="2" t="s">
        <v>81</v>
      </c>
      <c r="D34" s="2" t="s">
        <v>48</v>
      </c>
      <c r="E34" s="4" t="s">
        <v>24</v>
      </c>
      <c r="F34" s="2" t="s">
        <v>25</v>
      </c>
      <c r="G34" s="2">
        <v>3.0</v>
      </c>
      <c r="H34" s="2">
        <v>21.04</v>
      </c>
      <c r="I34" s="2">
        <v>0.0</v>
      </c>
      <c r="J34" s="2">
        <v>63.13</v>
      </c>
      <c r="K34" s="2">
        <v>11.59</v>
      </c>
    </row>
    <row r="35" ht="15.75" customHeight="1">
      <c r="A35" s="2" t="s">
        <v>96</v>
      </c>
      <c r="B35" s="3">
        <v>45666.0</v>
      </c>
      <c r="C35" s="2" t="s">
        <v>92</v>
      </c>
      <c r="D35" s="2" t="s">
        <v>13</v>
      </c>
      <c r="E35" s="2" t="s">
        <v>37</v>
      </c>
      <c r="F35" s="2" t="s">
        <v>25</v>
      </c>
      <c r="G35" s="2">
        <v>8.0</v>
      </c>
      <c r="H35" s="2">
        <v>37.61</v>
      </c>
      <c r="I35" s="2">
        <v>0.05</v>
      </c>
      <c r="J35" s="2">
        <v>285.81</v>
      </c>
      <c r="K35" s="2">
        <v>58.15</v>
      </c>
    </row>
    <row r="36" ht="15.75" customHeight="1">
      <c r="A36" s="2" t="s">
        <v>97</v>
      </c>
      <c r="B36" s="3">
        <v>45818.0</v>
      </c>
      <c r="C36" s="2" t="s">
        <v>52</v>
      </c>
      <c r="D36" s="2" t="s">
        <v>23</v>
      </c>
      <c r="E36" s="2" t="s">
        <v>56</v>
      </c>
      <c r="F36" s="2" t="s">
        <v>25</v>
      </c>
      <c r="G36" s="2">
        <v>8.0</v>
      </c>
      <c r="H36" s="2">
        <v>50.66</v>
      </c>
      <c r="I36" s="2">
        <v>0.1</v>
      </c>
      <c r="J36" s="2">
        <v>364.77</v>
      </c>
      <c r="K36" s="2">
        <v>109.1</v>
      </c>
    </row>
    <row r="37" ht="15.75" customHeight="1">
      <c r="A37" s="2" t="s">
        <v>98</v>
      </c>
      <c r="B37" s="3">
        <v>45884.0</v>
      </c>
      <c r="C37" s="2" t="s">
        <v>45</v>
      </c>
      <c r="D37" s="2" t="s">
        <v>48</v>
      </c>
      <c r="E37" s="2" t="s">
        <v>56</v>
      </c>
      <c r="F37" s="2" t="s">
        <v>25</v>
      </c>
      <c r="G37" s="2">
        <v>1.0</v>
      </c>
      <c r="H37" s="2">
        <v>45.4</v>
      </c>
      <c r="I37" s="2">
        <v>0.1</v>
      </c>
      <c r="J37" s="2">
        <v>40.86</v>
      </c>
      <c r="K37" s="2">
        <v>10.57</v>
      </c>
    </row>
    <row r="38" ht="15.75" customHeight="1">
      <c r="A38" s="2" t="s">
        <v>99</v>
      </c>
      <c r="B38" s="3">
        <v>45851.0</v>
      </c>
      <c r="C38" s="2" t="s">
        <v>100</v>
      </c>
      <c r="D38" s="2" t="s">
        <v>13</v>
      </c>
      <c r="E38" s="2" t="s">
        <v>37</v>
      </c>
      <c r="F38" s="2" t="s">
        <v>25</v>
      </c>
      <c r="G38" s="2">
        <v>3.0</v>
      </c>
      <c r="H38" s="2">
        <v>37.65</v>
      </c>
      <c r="I38" s="2">
        <v>0.0</v>
      </c>
      <c r="J38" s="2">
        <v>112.96</v>
      </c>
      <c r="K38" s="2">
        <v>36.03</v>
      </c>
    </row>
    <row r="39" ht="15.75" customHeight="1">
      <c r="A39" s="2" t="s">
        <v>101</v>
      </c>
      <c r="B39" s="3">
        <v>45934.0</v>
      </c>
      <c r="C39" s="2" t="s">
        <v>45</v>
      </c>
      <c r="D39" s="2" t="s">
        <v>23</v>
      </c>
      <c r="E39" s="2" t="s">
        <v>32</v>
      </c>
      <c r="F39" s="2" t="s">
        <v>33</v>
      </c>
      <c r="G39" s="2">
        <v>5.0</v>
      </c>
      <c r="H39" s="2">
        <v>30.59</v>
      </c>
      <c r="I39" s="2">
        <v>0.1</v>
      </c>
      <c r="J39" s="2">
        <v>137.65</v>
      </c>
      <c r="K39" s="2">
        <v>45.77</v>
      </c>
    </row>
    <row r="40" ht="15.75" customHeight="1">
      <c r="A40" s="2" t="s">
        <v>102</v>
      </c>
      <c r="B40" s="3">
        <v>45833.0</v>
      </c>
      <c r="C40" s="2" t="s">
        <v>79</v>
      </c>
      <c r="D40" s="2" t="s">
        <v>13</v>
      </c>
      <c r="E40" s="2" t="s">
        <v>32</v>
      </c>
      <c r="F40" s="2" t="s">
        <v>33</v>
      </c>
      <c r="G40" s="2">
        <v>8.0</v>
      </c>
      <c r="H40" s="2">
        <v>33.25</v>
      </c>
      <c r="I40" s="2">
        <v>0.1</v>
      </c>
      <c r="J40" s="2">
        <v>239.4</v>
      </c>
      <c r="K40" s="2">
        <v>76.22</v>
      </c>
    </row>
    <row r="41" ht="15.75" customHeight="1">
      <c r="A41" s="2" t="s">
        <v>103</v>
      </c>
      <c r="B41" s="3">
        <v>46022.0</v>
      </c>
      <c r="C41" s="2" t="s">
        <v>104</v>
      </c>
      <c r="D41" s="2" t="s">
        <v>48</v>
      </c>
      <c r="E41" s="2" t="s">
        <v>56</v>
      </c>
      <c r="F41" s="2" t="s">
        <v>25</v>
      </c>
      <c r="G41" s="2">
        <v>6.0</v>
      </c>
      <c r="H41" s="2">
        <v>46.2</v>
      </c>
      <c r="I41" s="2">
        <v>0.0</v>
      </c>
      <c r="J41" s="2">
        <v>277.18</v>
      </c>
      <c r="K41" s="2">
        <v>51.39</v>
      </c>
    </row>
    <row r="42" ht="15.75" customHeight="1">
      <c r="A42" s="2" t="s">
        <v>105</v>
      </c>
      <c r="B42" s="3">
        <v>45974.0</v>
      </c>
      <c r="C42" s="2" t="s">
        <v>45</v>
      </c>
      <c r="D42" s="2" t="s">
        <v>13</v>
      </c>
      <c r="E42" s="2" t="s">
        <v>32</v>
      </c>
      <c r="F42" s="2" t="s">
        <v>33</v>
      </c>
      <c r="G42" s="2">
        <v>3.0</v>
      </c>
      <c r="H42" s="2">
        <v>31.66</v>
      </c>
      <c r="I42" s="2">
        <v>0.05</v>
      </c>
      <c r="J42" s="2">
        <v>90.24</v>
      </c>
      <c r="K42" s="2">
        <v>22.65</v>
      </c>
    </row>
    <row r="43" ht="15.75" customHeight="1">
      <c r="A43" s="2" t="s">
        <v>106</v>
      </c>
      <c r="B43" s="3">
        <v>45815.0</v>
      </c>
      <c r="C43" s="2" t="s">
        <v>43</v>
      </c>
      <c r="D43" s="2" t="s">
        <v>48</v>
      </c>
      <c r="E43" s="2" t="s">
        <v>39</v>
      </c>
      <c r="F43" s="2" t="s">
        <v>25</v>
      </c>
      <c r="G43" s="2">
        <v>3.0</v>
      </c>
      <c r="H43" s="2">
        <v>40.68</v>
      </c>
      <c r="I43" s="2">
        <v>0.0</v>
      </c>
      <c r="J43" s="2">
        <v>122.03</v>
      </c>
      <c r="K43" s="2">
        <v>22.1</v>
      </c>
    </row>
    <row r="44" ht="15.75" customHeight="1">
      <c r="A44" s="2" t="s">
        <v>107</v>
      </c>
      <c r="B44" s="3">
        <v>45959.0</v>
      </c>
      <c r="C44" s="2" t="s">
        <v>108</v>
      </c>
      <c r="D44" s="2" t="s">
        <v>13</v>
      </c>
      <c r="E44" s="2" t="s">
        <v>53</v>
      </c>
      <c r="F44" s="2" t="s">
        <v>25</v>
      </c>
      <c r="G44" s="2">
        <v>6.0</v>
      </c>
      <c r="H44" s="2">
        <v>53.86</v>
      </c>
      <c r="I44" s="2">
        <v>0.0</v>
      </c>
      <c r="J44" s="2">
        <v>323.14</v>
      </c>
      <c r="K44" s="2">
        <v>62.8</v>
      </c>
    </row>
    <row r="45" ht="15.75" customHeight="1">
      <c r="A45" s="2" t="s">
        <v>109</v>
      </c>
      <c r="B45" s="3">
        <v>45818.0</v>
      </c>
      <c r="C45" s="2" t="s">
        <v>110</v>
      </c>
      <c r="D45" s="2" t="s">
        <v>23</v>
      </c>
      <c r="E45" s="2" t="s">
        <v>56</v>
      </c>
      <c r="F45" s="2" t="s">
        <v>25</v>
      </c>
      <c r="G45" s="2">
        <v>4.0</v>
      </c>
      <c r="H45" s="2">
        <v>50.71</v>
      </c>
      <c r="I45" s="2">
        <v>0.0</v>
      </c>
      <c r="J45" s="2">
        <v>202.84</v>
      </c>
      <c r="K45" s="2">
        <v>61.46</v>
      </c>
    </row>
    <row r="46" ht="15.75" customHeight="1">
      <c r="A46" s="2" t="s">
        <v>111</v>
      </c>
      <c r="B46" s="3">
        <v>45831.0</v>
      </c>
      <c r="C46" s="2" t="s">
        <v>52</v>
      </c>
      <c r="D46" s="2" t="s">
        <v>48</v>
      </c>
      <c r="E46" s="4" t="s">
        <v>24</v>
      </c>
      <c r="F46" s="2" t="s">
        <v>25</v>
      </c>
      <c r="G46" s="2">
        <v>1.0</v>
      </c>
      <c r="H46" s="2">
        <v>21.63</v>
      </c>
      <c r="I46" s="2">
        <v>0.1</v>
      </c>
      <c r="J46" s="2">
        <v>19.47</v>
      </c>
      <c r="K46" s="2">
        <v>3.78</v>
      </c>
    </row>
    <row r="47" ht="15.75" customHeight="1">
      <c r="A47" s="2" t="s">
        <v>113</v>
      </c>
      <c r="B47" s="3">
        <v>45930.0</v>
      </c>
      <c r="C47" s="2" t="s">
        <v>114</v>
      </c>
      <c r="D47" s="2" t="s">
        <v>19</v>
      </c>
      <c r="E47" s="2" t="s">
        <v>32</v>
      </c>
      <c r="F47" s="2" t="s">
        <v>33</v>
      </c>
      <c r="G47" s="2">
        <v>7.0</v>
      </c>
      <c r="H47" s="2">
        <v>34.51</v>
      </c>
      <c r="I47" s="2">
        <v>0.0</v>
      </c>
      <c r="J47" s="2">
        <v>241.56</v>
      </c>
      <c r="K47" s="2">
        <v>66.75</v>
      </c>
    </row>
    <row r="48" ht="15.75" customHeight="1">
      <c r="A48" s="2" t="s">
        <v>115</v>
      </c>
      <c r="B48" s="3">
        <v>45683.0</v>
      </c>
      <c r="C48" s="2" t="s">
        <v>116</v>
      </c>
      <c r="D48" s="2" t="s">
        <v>48</v>
      </c>
      <c r="E48" s="2" t="s">
        <v>37</v>
      </c>
      <c r="F48" s="2" t="s">
        <v>25</v>
      </c>
      <c r="G48" s="2">
        <v>3.0</v>
      </c>
      <c r="H48" s="2">
        <v>36.17</v>
      </c>
      <c r="I48" s="2">
        <v>0.05</v>
      </c>
      <c r="J48" s="2">
        <v>103.08</v>
      </c>
      <c r="K48" s="2">
        <v>33.06</v>
      </c>
    </row>
    <row r="49" ht="15.75" customHeight="1">
      <c r="A49" s="2" t="s">
        <v>117</v>
      </c>
      <c r="B49" s="3">
        <v>45830.0</v>
      </c>
      <c r="C49" s="2" t="s">
        <v>118</v>
      </c>
      <c r="D49" s="2" t="s">
        <v>19</v>
      </c>
      <c r="E49" s="2" t="s">
        <v>37</v>
      </c>
      <c r="F49" s="2" t="s">
        <v>25</v>
      </c>
      <c r="G49" s="2">
        <v>8.0</v>
      </c>
      <c r="H49" s="2">
        <v>37.31</v>
      </c>
      <c r="I49" s="2">
        <v>0.05</v>
      </c>
      <c r="J49" s="2">
        <v>283.59</v>
      </c>
      <c r="K49" s="2">
        <v>79.32</v>
      </c>
    </row>
    <row r="50" ht="15.75" customHeight="1">
      <c r="A50" s="2" t="s">
        <v>119</v>
      </c>
      <c r="B50" s="3">
        <v>45800.0</v>
      </c>
      <c r="C50" s="2" t="s">
        <v>28</v>
      </c>
      <c r="D50" s="2" t="s">
        <v>48</v>
      </c>
      <c r="E50" s="2" t="s">
        <v>32</v>
      </c>
      <c r="F50" s="2" t="s">
        <v>33</v>
      </c>
      <c r="G50" s="2">
        <v>8.0</v>
      </c>
      <c r="H50" s="2">
        <v>31.47</v>
      </c>
      <c r="I50" s="2">
        <v>0.0</v>
      </c>
      <c r="J50" s="2">
        <v>251.77</v>
      </c>
      <c r="K50" s="2">
        <v>51.03</v>
      </c>
    </row>
    <row r="51" ht="15.75" customHeight="1">
      <c r="A51" s="2" t="s">
        <v>121</v>
      </c>
      <c r="B51" s="3">
        <v>45720.0</v>
      </c>
      <c r="C51" s="2" t="s">
        <v>18</v>
      </c>
      <c r="D51" s="2" t="s">
        <v>48</v>
      </c>
      <c r="E51" s="4" t="s">
        <v>24</v>
      </c>
      <c r="F51" s="2" t="s">
        <v>25</v>
      </c>
      <c r="G51" s="2">
        <v>8.0</v>
      </c>
      <c r="H51" s="2">
        <v>22.28</v>
      </c>
      <c r="I51" s="2">
        <v>0.0</v>
      </c>
      <c r="J51" s="2">
        <v>178.2</v>
      </c>
      <c r="K51" s="2">
        <v>51.12</v>
      </c>
    </row>
    <row r="52" ht="15.75" customHeight="1">
      <c r="A52" s="2" t="s">
        <v>122</v>
      </c>
      <c r="B52" s="3">
        <v>45758.0</v>
      </c>
      <c r="C52" s="2" t="s">
        <v>22</v>
      </c>
      <c r="D52" s="2" t="s">
        <v>23</v>
      </c>
      <c r="E52" s="4" t="s">
        <v>24</v>
      </c>
      <c r="F52" s="2" t="s">
        <v>25</v>
      </c>
      <c r="G52" s="2">
        <v>6.0</v>
      </c>
      <c r="H52" s="2">
        <v>21.12</v>
      </c>
      <c r="I52" s="2">
        <v>0.0</v>
      </c>
      <c r="J52" s="2">
        <v>126.73</v>
      </c>
      <c r="K52" s="2">
        <v>40.47</v>
      </c>
    </row>
    <row r="53" ht="15.75" customHeight="1">
      <c r="A53" s="2" t="s">
        <v>123</v>
      </c>
      <c r="B53" s="3">
        <v>46022.0</v>
      </c>
      <c r="C53" s="2" t="s">
        <v>66</v>
      </c>
      <c r="D53" s="2" t="s">
        <v>23</v>
      </c>
      <c r="E53" s="2" t="s">
        <v>53</v>
      </c>
      <c r="F53" s="2" t="s">
        <v>25</v>
      </c>
      <c r="G53" s="2">
        <v>4.0</v>
      </c>
      <c r="H53" s="2">
        <v>52.5</v>
      </c>
      <c r="I53" s="2">
        <v>0.05</v>
      </c>
      <c r="J53" s="2">
        <v>199.5</v>
      </c>
      <c r="K53" s="2">
        <v>72.4</v>
      </c>
    </row>
    <row r="54" ht="15.75" customHeight="1">
      <c r="A54" s="2" t="s">
        <v>124</v>
      </c>
      <c r="B54" s="3">
        <v>45781.0</v>
      </c>
      <c r="C54" s="2" t="s">
        <v>55</v>
      </c>
      <c r="D54" s="2" t="s">
        <v>48</v>
      </c>
      <c r="E54" s="2" t="s">
        <v>72</v>
      </c>
      <c r="F54" s="2" t="s">
        <v>73</v>
      </c>
      <c r="G54" s="2">
        <v>7.0</v>
      </c>
      <c r="H54" s="2">
        <v>67.07</v>
      </c>
      <c r="I54" s="2">
        <v>0.0</v>
      </c>
      <c r="J54" s="2">
        <v>469.52</v>
      </c>
      <c r="K54" s="2">
        <v>165.95</v>
      </c>
    </row>
    <row r="55" ht="15.75" customHeight="1">
      <c r="A55" s="2" t="s">
        <v>125</v>
      </c>
      <c r="B55" s="3">
        <v>46003.0</v>
      </c>
      <c r="C55" s="2" t="s">
        <v>126</v>
      </c>
      <c r="D55" s="2" t="s">
        <v>48</v>
      </c>
      <c r="E55" s="2" t="s">
        <v>56</v>
      </c>
      <c r="F55" s="2" t="s">
        <v>25</v>
      </c>
      <c r="G55" s="2">
        <v>1.0</v>
      </c>
      <c r="H55" s="2">
        <v>47.22</v>
      </c>
      <c r="I55" s="2">
        <v>0.05</v>
      </c>
      <c r="J55" s="2">
        <v>44.86</v>
      </c>
      <c r="K55" s="2">
        <v>10.37</v>
      </c>
    </row>
    <row r="56" ht="15.75" customHeight="1">
      <c r="A56" s="2" t="s">
        <v>127</v>
      </c>
      <c r="B56" s="3">
        <v>45715.0</v>
      </c>
      <c r="C56" s="2" t="s">
        <v>64</v>
      </c>
      <c r="D56" s="2" t="s">
        <v>19</v>
      </c>
      <c r="E56" s="2" t="s">
        <v>53</v>
      </c>
      <c r="F56" s="2" t="s">
        <v>25</v>
      </c>
      <c r="G56" s="2">
        <v>6.0</v>
      </c>
      <c r="H56" s="2">
        <v>57.96</v>
      </c>
      <c r="I56" s="2">
        <v>0.05</v>
      </c>
      <c r="J56" s="2">
        <v>330.35</v>
      </c>
      <c r="K56" s="2">
        <v>98.51</v>
      </c>
    </row>
    <row r="57" ht="15.75" customHeight="1">
      <c r="A57" s="2" t="s">
        <v>130</v>
      </c>
      <c r="B57" s="3">
        <v>45894.0</v>
      </c>
      <c r="C57" s="2" t="s">
        <v>108</v>
      </c>
      <c r="D57" s="2" t="s">
        <v>19</v>
      </c>
      <c r="E57" s="2" t="s">
        <v>14</v>
      </c>
      <c r="F57" s="2" t="s">
        <v>15</v>
      </c>
      <c r="G57" s="2">
        <v>2.0</v>
      </c>
      <c r="H57" s="2">
        <v>201.26</v>
      </c>
      <c r="I57" s="2">
        <v>0.0</v>
      </c>
      <c r="J57" s="2">
        <v>402.51</v>
      </c>
      <c r="K57" s="2">
        <v>138.23</v>
      </c>
    </row>
    <row r="58" ht="15.75" customHeight="1">
      <c r="A58" s="2" t="s">
        <v>131</v>
      </c>
      <c r="B58" s="3">
        <v>45904.0</v>
      </c>
      <c r="C58" s="2" t="s">
        <v>110</v>
      </c>
      <c r="D58" s="2" t="s">
        <v>23</v>
      </c>
      <c r="E58" s="2" t="s">
        <v>32</v>
      </c>
      <c r="F58" s="2" t="s">
        <v>33</v>
      </c>
      <c r="G58" s="2">
        <v>5.0</v>
      </c>
      <c r="H58" s="2">
        <v>33.22</v>
      </c>
      <c r="I58" s="2">
        <v>0.05</v>
      </c>
      <c r="J58" s="2">
        <v>157.79</v>
      </c>
      <c r="K58" s="2">
        <v>40.65</v>
      </c>
    </row>
    <row r="59" ht="15.75" customHeight="1">
      <c r="A59" s="2" t="s">
        <v>132</v>
      </c>
      <c r="B59" s="3">
        <v>45877.0</v>
      </c>
      <c r="C59" s="2" t="s">
        <v>133</v>
      </c>
      <c r="D59" s="2" t="s">
        <v>13</v>
      </c>
      <c r="E59" s="4" t="s">
        <v>24</v>
      </c>
      <c r="F59" s="2" t="s">
        <v>25</v>
      </c>
      <c r="G59" s="2">
        <v>8.0</v>
      </c>
      <c r="H59" s="2">
        <v>20.8</v>
      </c>
      <c r="I59" s="2">
        <v>0.0</v>
      </c>
      <c r="J59" s="2">
        <v>166.39</v>
      </c>
      <c r="K59" s="2">
        <v>51.85</v>
      </c>
    </row>
    <row r="60" ht="15.75" customHeight="1">
      <c r="A60" s="2" t="s">
        <v>134</v>
      </c>
      <c r="B60" s="3">
        <v>45875.0</v>
      </c>
      <c r="C60" s="2" t="s">
        <v>135</v>
      </c>
      <c r="D60" s="2" t="s">
        <v>23</v>
      </c>
      <c r="E60" s="2" t="s">
        <v>37</v>
      </c>
      <c r="F60" s="2" t="s">
        <v>25</v>
      </c>
      <c r="G60" s="2">
        <v>6.0</v>
      </c>
      <c r="H60" s="2">
        <v>36.99</v>
      </c>
      <c r="I60" s="2">
        <v>0.1</v>
      </c>
      <c r="J60" s="2">
        <v>199.75</v>
      </c>
      <c r="K60" s="2">
        <v>56.96</v>
      </c>
    </row>
    <row r="61" ht="15.75" customHeight="1">
      <c r="A61" s="2" t="s">
        <v>136</v>
      </c>
      <c r="B61" s="3">
        <v>45907.0</v>
      </c>
      <c r="C61" s="2" t="s">
        <v>137</v>
      </c>
      <c r="D61" s="2" t="s">
        <v>48</v>
      </c>
      <c r="E61" s="2" t="s">
        <v>53</v>
      </c>
      <c r="F61" s="2" t="s">
        <v>25</v>
      </c>
      <c r="G61" s="2">
        <v>7.0</v>
      </c>
      <c r="H61" s="2">
        <v>53.65</v>
      </c>
      <c r="I61" s="2">
        <v>0.05</v>
      </c>
      <c r="J61" s="2">
        <v>356.76</v>
      </c>
      <c r="K61" s="2">
        <v>89.21</v>
      </c>
    </row>
    <row r="62" ht="15.75" customHeight="1">
      <c r="A62" s="2" t="s">
        <v>138</v>
      </c>
      <c r="B62" s="3">
        <v>45753.0</v>
      </c>
      <c r="C62" s="2" t="s">
        <v>61</v>
      </c>
      <c r="D62" s="2" t="s">
        <v>23</v>
      </c>
      <c r="E62" s="2" t="s">
        <v>53</v>
      </c>
      <c r="F62" s="2" t="s">
        <v>25</v>
      </c>
      <c r="G62" s="2">
        <v>4.0</v>
      </c>
      <c r="H62" s="2">
        <v>51.0</v>
      </c>
      <c r="I62" s="2">
        <v>0.05</v>
      </c>
      <c r="J62" s="2">
        <v>193.79</v>
      </c>
      <c r="K62" s="2">
        <v>49.38</v>
      </c>
    </row>
    <row r="63" ht="15.75" customHeight="1">
      <c r="A63" s="2" t="s">
        <v>139</v>
      </c>
      <c r="B63" s="3">
        <v>45817.0</v>
      </c>
      <c r="C63" s="2" t="s">
        <v>140</v>
      </c>
      <c r="D63" s="2" t="s">
        <v>23</v>
      </c>
      <c r="E63" s="2" t="s">
        <v>53</v>
      </c>
      <c r="F63" s="2" t="s">
        <v>25</v>
      </c>
      <c r="G63" s="2">
        <v>5.0</v>
      </c>
      <c r="H63" s="2">
        <v>52.03</v>
      </c>
      <c r="I63" s="2">
        <v>0.0</v>
      </c>
      <c r="J63" s="2">
        <v>260.17</v>
      </c>
      <c r="K63" s="2">
        <v>65.44</v>
      </c>
    </row>
    <row r="64" ht="15.75" customHeight="1">
      <c r="A64" s="2" t="s">
        <v>141</v>
      </c>
      <c r="B64" s="3">
        <v>45836.0</v>
      </c>
      <c r="C64" s="2" t="s">
        <v>142</v>
      </c>
      <c r="D64" s="2" t="s">
        <v>19</v>
      </c>
      <c r="E64" s="2" t="s">
        <v>32</v>
      </c>
      <c r="F64" s="2" t="s">
        <v>33</v>
      </c>
      <c r="G64" s="2">
        <v>4.0</v>
      </c>
      <c r="H64" s="2">
        <v>31.43</v>
      </c>
      <c r="I64" s="2">
        <v>0.05</v>
      </c>
      <c r="J64" s="2">
        <v>119.42</v>
      </c>
      <c r="K64" s="2">
        <v>34.44</v>
      </c>
    </row>
    <row r="65" ht="15.75" customHeight="1">
      <c r="A65" s="2" t="s">
        <v>143</v>
      </c>
      <c r="B65" s="3">
        <v>45942.0</v>
      </c>
      <c r="C65" s="2" t="s">
        <v>145</v>
      </c>
      <c r="D65" s="2" t="s">
        <v>23</v>
      </c>
      <c r="E65" s="2" t="s">
        <v>39</v>
      </c>
      <c r="F65" s="2" t="s">
        <v>25</v>
      </c>
      <c r="G65" s="2">
        <v>3.0</v>
      </c>
      <c r="H65" s="2">
        <v>41.0</v>
      </c>
      <c r="I65" s="2">
        <v>0.05</v>
      </c>
      <c r="J65" s="2">
        <v>116.85</v>
      </c>
      <c r="K65" s="2">
        <v>39.57</v>
      </c>
    </row>
    <row r="66" ht="15.75" customHeight="1">
      <c r="A66" s="2" t="s">
        <v>146</v>
      </c>
      <c r="B66" s="3">
        <v>45994.0</v>
      </c>
      <c r="C66" s="2" t="s">
        <v>135</v>
      </c>
      <c r="D66" s="2" t="s">
        <v>23</v>
      </c>
      <c r="E66" s="2" t="s">
        <v>14</v>
      </c>
      <c r="F66" s="2" t="s">
        <v>15</v>
      </c>
      <c r="G66" s="2">
        <v>6.0</v>
      </c>
      <c r="H66" s="2">
        <v>193.81</v>
      </c>
      <c r="I66" s="2">
        <v>0.0</v>
      </c>
      <c r="J66" s="2">
        <v>1162.87</v>
      </c>
      <c r="K66" s="2">
        <v>283.04</v>
      </c>
    </row>
    <row r="67" ht="15.75" customHeight="1">
      <c r="A67" s="2" t="s">
        <v>147</v>
      </c>
      <c r="B67" s="3">
        <v>45853.0</v>
      </c>
      <c r="C67" s="2" t="s">
        <v>12</v>
      </c>
      <c r="D67" s="2" t="s">
        <v>19</v>
      </c>
      <c r="E67" s="2" t="s">
        <v>53</v>
      </c>
      <c r="F67" s="2" t="s">
        <v>25</v>
      </c>
      <c r="G67" s="2">
        <v>2.0</v>
      </c>
      <c r="H67" s="2">
        <v>56.6</v>
      </c>
      <c r="I67" s="2">
        <v>0.0</v>
      </c>
      <c r="J67" s="2">
        <v>113.2</v>
      </c>
      <c r="K67" s="2">
        <v>37.11</v>
      </c>
    </row>
    <row r="68" ht="15.75" customHeight="1">
      <c r="A68" s="2" t="s">
        <v>148</v>
      </c>
      <c r="B68" s="3">
        <v>45906.0</v>
      </c>
      <c r="C68" s="2" t="s">
        <v>41</v>
      </c>
      <c r="D68" s="2" t="s">
        <v>48</v>
      </c>
      <c r="E68" s="4" t="s">
        <v>24</v>
      </c>
      <c r="F68" s="2" t="s">
        <v>25</v>
      </c>
      <c r="G68" s="2">
        <v>5.0</v>
      </c>
      <c r="H68" s="2">
        <v>23.54</v>
      </c>
      <c r="I68" s="2">
        <v>0.0</v>
      </c>
      <c r="J68" s="2">
        <v>117.69</v>
      </c>
      <c r="K68" s="2">
        <v>34.88</v>
      </c>
    </row>
    <row r="69" ht="15.75" customHeight="1">
      <c r="A69" s="2" t="s">
        <v>149</v>
      </c>
      <c r="B69" s="3">
        <v>45693.0</v>
      </c>
      <c r="C69" s="2" t="s">
        <v>150</v>
      </c>
      <c r="D69" s="2" t="s">
        <v>19</v>
      </c>
      <c r="E69" s="2" t="s">
        <v>53</v>
      </c>
      <c r="F69" s="2" t="s">
        <v>25</v>
      </c>
      <c r="G69" s="2">
        <v>1.0</v>
      </c>
      <c r="H69" s="2">
        <v>55.6</v>
      </c>
      <c r="I69" s="2">
        <v>0.05</v>
      </c>
      <c r="J69" s="2">
        <v>52.82</v>
      </c>
      <c r="K69" s="2">
        <v>12.34</v>
      </c>
    </row>
    <row r="70" ht="15.75" customHeight="1">
      <c r="A70" s="2" t="s">
        <v>151</v>
      </c>
      <c r="B70" s="3">
        <v>45840.0</v>
      </c>
      <c r="C70" s="2" t="s">
        <v>145</v>
      </c>
      <c r="D70" s="2" t="s">
        <v>13</v>
      </c>
      <c r="E70" s="2" t="s">
        <v>14</v>
      </c>
      <c r="F70" s="2" t="s">
        <v>15</v>
      </c>
      <c r="G70" s="2">
        <v>8.0</v>
      </c>
      <c r="H70" s="2">
        <v>204.65</v>
      </c>
      <c r="I70" s="2">
        <v>0.15</v>
      </c>
      <c r="J70" s="2">
        <v>1391.63</v>
      </c>
      <c r="K70" s="2">
        <v>289.9</v>
      </c>
    </row>
    <row r="71" ht="15.75" customHeight="1">
      <c r="A71" s="2" t="s">
        <v>152</v>
      </c>
      <c r="B71" s="3">
        <v>45874.0</v>
      </c>
      <c r="C71" s="2" t="s">
        <v>18</v>
      </c>
      <c r="D71" s="2" t="s">
        <v>19</v>
      </c>
      <c r="E71" s="2" t="s">
        <v>37</v>
      </c>
      <c r="F71" s="2" t="s">
        <v>25</v>
      </c>
      <c r="G71" s="2">
        <v>3.0</v>
      </c>
      <c r="H71" s="2">
        <v>32.78</v>
      </c>
      <c r="I71" s="2">
        <v>0.1</v>
      </c>
      <c r="J71" s="2">
        <v>88.5</v>
      </c>
      <c r="K71" s="2">
        <v>24.69</v>
      </c>
    </row>
    <row r="72" ht="15.75" customHeight="1">
      <c r="A72" s="2" t="s">
        <v>153</v>
      </c>
      <c r="B72" s="3">
        <v>45733.0</v>
      </c>
      <c r="C72" s="2" t="s">
        <v>154</v>
      </c>
      <c r="D72" s="2" t="s">
        <v>13</v>
      </c>
      <c r="E72" s="2" t="s">
        <v>56</v>
      </c>
      <c r="F72" s="2" t="s">
        <v>25</v>
      </c>
      <c r="G72" s="2">
        <v>3.0</v>
      </c>
      <c r="H72" s="2">
        <v>47.15</v>
      </c>
      <c r="I72" s="2">
        <v>0.0</v>
      </c>
      <c r="J72" s="2">
        <v>141.45</v>
      </c>
      <c r="K72" s="2">
        <v>28.14</v>
      </c>
    </row>
    <row r="73" ht="15.75" customHeight="1">
      <c r="A73" s="2" t="s">
        <v>155</v>
      </c>
      <c r="B73" s="3">
        <v>45801.0</v>
      </c>
      <c r="C73" s="2" t="s">
        <v>108</v>
      </c>
      <c r="D73" s="2" t="s">
        <v>19</v>
      </c>
      <c r="E73" s="2" t="s">
        <v>39</v>
      </c>
      <c r="F73" s="2" t="s">
        <v>25</v>
      </c>
      <c r="G73" s="2">
        <v>6.0</v>
      </c>
      <c r="H73" s="2">
        <v>40.1</v>
      </c>
      <c r="I73" s="2">
        <v>0.05</v>
      </c>
      <c r="J73" s="2">
        <v>228.59</v>
      </c>
      <c r="K73" s="2">
        <v>64.32</v>
      </c>
    </row>
    <row r="74" ht="15.75" customHeight="1">
      <c r="A74" s="2" t="s">
        <v>156</v>
      </c>
      <c r="B74" s="3">
        <v>45808.0</v>
      </c>
      <c r="C74" s="2" t="s">
        <v>87</v>
      </c>
      <c r="D74" s="2" t="s">
        <v>19</v>
      </c>
      <c r="E74" s="2" t="s">
        <v>56</v>
      </c>
      <c r="F74" s="2" t="s">
        <v>25</v>
      </c>
      <c r="G74" s="2">
        <v>4.0</v>
      </c>
      <c r="H74" s="2">
        <v>46.68</v>
      </c>
      <c r="I74" s="2">
        <v>0.05</v>
      </c>
      <c r="J74" s="2">
        <v>177.4</v>
      </c>
      <c r="K74" s="2">
        <v>40.72</v>
      </c>
    </row>
    <row r="75" ht="15.75" customHeight="1">
      <c r="A75" s="2" t="s">
        <v>157</v>
      </c>
      <c r="B75" s="3">
        <v>45779.0</v>
      </c>
      <c r="C75" s="2" t="s">
        <v>133</v>
      </c>
      <c r="D75" s="2" t="s">
        <v>13</v>
      </c>
      <c r="E75" s="2" t="s">
        <v>14</v>
      </c>
      <c r="F75" s="2" t="s">
        <v>15</v>
      </c>
      <c r="G75" s="2">
        <v>5.0</v>
      </c>
      <c r="H75" s="2">
        <v>224.48</v>
      </c>
      <c r="I75" s="2">
        <v>0.15</v>
      </c>
      <c r="J75" s="2">
        <v>954.04</v>
      </c>
      <c r="K75" s="2">
        <v>172.5</v>
      </c>
    </row>
    <row r="76" ht="15.75" customHeight="1">
      <c r="A76" s="2" t="s">
        <v>158</v>
      </c>
      <c r="B76" s="3">
        <v>45731.0</v>
      </c>
      <c r="C76" s="2" t="s">
        <v>12</v>
      </c>
      <c r="D76" s="2" t="s">
        <v>23</v>
      </c>
      <c r="E76" s="2" t="s">
        <v>14</v>
      </c>
      <c r="F76" s="2" t="s">
        <v>15</v>
      </c>
      <c r="G76" s="2">
        <v>5.0</v>
      </c>
      <c r="H76" s="2">
        <v>204.99</v>
      </c>
      <c r="I76" s="2">
        <v>0.0</v>
      </c>
      <c r="J76" s="2">
        <v>1024.95</v>
      </c>
      <c r="K76" s="2">
        <v>360.17</v>
      </c>
    </row>
    <row r="77" ht="15.75" customHeight="1">
      <c r="A77" s="2" t="s">
        <v>159</v>
      </c>
      <c r="B77" s="3">
        <v>45940.0</v>
      </c>
      <c r="C77" s="2" t="s">
        <v>12</v>
      </c>
      <c r="D77" s="2" t="s">
        <v>48</v>
      </c>
      <c r="E77" s="2" t="s">
        <v>37</v>
      </c>
      <c r="F77" s="2" t="s">
        <v>25</v>
      </c>
      <c r="G77" s="2">
        <v>5.0</v>
      </c>
      <c r="H77" s="2">
        <v>36.9</v>
      </c>
      <c r="I77" s="2">
        <v>0.05</v>
      </c>
      <c r="J77" s="2">
        <v>175.25</v>
      </c>
      <c r="K77" s="2">
        <v>58.79</v>
      </c>
    </row>
    <row r="78" ht="15.75" customHeight="1">
      <c r="A78" s="2" t="s">
        <v>160</v>
      </c>
      <c r="B78" s="3">
        <v>45978.0</v>
      </c>
      <c r="C78" s="2" t="s">
        <v>18</v>
      </c>
      <c r="D78" s="2" t="s">
        <v>23</v>
      </c>
      <c r="E78" s="2" t="s">
        <v>53</v>
      </c>
      <c r="F78" s="2" t="s">
        <v>25</v>
      </c>
      <c r="G78" s="2">
        <v>5.0</v>
      </c>
      <c r="H78" s="2">
        <v>51.35</v>
      </c>
      <c r="I78" s="2">
        <v>0.15</v>
      </c>
      <c r="J78" s="2">
        <v>218.22</v>
      </c>
      <c r="K78" s="2">
        <v>66.59</v>
      </c>
    </row>
    <row r="79" ht="15.75" customHeight="1">
      <c r="A79" s="2" t="s">
        <v>161</v>
      </c>
      <c r="B79" s="3">
        <v>45909.0</v>
      </c>
      <c r="C79" s="2" t="s">
        <v>94</v>
      </c>
      <c r="D79" s="2" t="s">
        <v>13</v>
      </c>
      <c r="E79" s="2" t="s">
        <v>37</v>
      </c>
      <c r="F79" s="2" t="s">
        <v>25</v>
      </c>
      <c r="G79" s="2">
        <v>7.0</v>
      </c>
      <c r="H79" s="2">
        <v>37.28</v>
      </c>
      <c r="I79" s="2">
        <v>0.05</v>
      </c>
      <c r="J79" s="2">
        <v>247.93</v>
      </c>
      <c r="K79" s="2">
        <v>76.85</v>
      </c>
    </row>
    <row r="80" ht="15.75" customHeight="1">
      <c r="A80" s="2" t="s">
        <v>162</v>
      </c>
      <c r="B80" s="3">
        <v>45696.0</v>
      </c>
      <c r="C80" s="2" t="s">
        <v>110</v>
      </c>
      <c r="D80" s="2" t="s">
        <v>19</v>
      </c>
      <c r="E80" s="2" t="s">
        <v>53</v>
      </c>
      <c r="F80" s="2" t="s">
        <v>25</v>
      </c>
      <c r="G80" s="2">
        <v>4.0</v>
      </c>
      <c r="H80" s="2">
        <v>55.51</v>
      </c>
      <c r="I80" s="2">
        <v>0.05</v>
      </c>
      <c r="J80" s="2">
        <v>210.95</v>
      </c>
      <c r="K80" s="2">
        <v>41.92</v>
      </c>
    </row>
    <row r="81" ht="15.75" customHeight="1">
      <c r="A81" s="2" t="s">
        <v>163</v>
      </c>
      <c r="B81" s="3">
        <v>45974.0</v>
      </c>
      <c r="C81" s="2" t="s">
        <v>92</v>
      </c>
      <c r="D81" s="2" t="s">
        <v>13</v>
      </c>
      <c r="E81" s="2" t="s">
        <v>53</v>
      </c>
      <c r="F81" s="2" t="s">
        <v>25</v>
      </c>
      <c r="G81" s="2">
        <v>2.0</v>
      </c>
      <c r="H81" s="2">
        <v>54.72</v>
      </c>
      <c r="I81" s="2">
        <v>0.0</v>
      </c>
      <c r="J81" s="2">
        <v>109.45</v>
      </c>
      <c r="K81" s="2">
        <v>38.99</v>
      </c>
    </row>
    <row r="82" ht="15.75" customHeight="1">
      <c r="A82" s="2" t="s">
        <v>164</v>
      </c>
      <c r="B82" s="3">
        <v>45969.0</v>
      </c>
      <c r="C82" s="2" t="s">
        <v>22</v>
      </c>
      <c r="D82" s="2" t="s">
        <v>48</v>
      </c>
      <c r="E82" s="2" t="s">
        <v>37</v>
      </c>
      <c r="F82" s="2" t="s">
        <v>25</v>
      </c>
      <c r="G82" s="2">
        <v>3.0</v>
      </c>
      <c r="H82" s="2">
        <v>35.47</v>
      </c>
      <c r="I82" s="2">
        <v>0.15</v>
      </c>
      <c r="J82" s="2">
        <v>90.44</v>
      </c>
      <c r="K82" s="2">
        <v>27.59</v>
      </c>
    </row>
    <row r="83" ht="15.75" customHeight="1">
      <c r="A83" s="2" t="s">
        <v>165</v>
      </c>
      <c r="B83" s="3">
        <v>45960.0</v>
      </c>
      <c r="C83" s="2" t="s">
        <v>166</v>
      </c>
      <c r="D83" s="2" t="s">
        <v>23</v>
      </c>
      <c r="E83" s="2" t="s">
        <v>53</v>
      </c>
      <c r="F83" s="2" t="s">
        <v>25</v>
      </c>
      <c r="G83" s="2">
        <v>6.0</v>
      </c>
      <c r="H83" s="2">
        <v>57.66</v>
      </c>
      <c r="I83" s="2">
        <v>0.15</v>
      </c>
      <c r="J83" s="2">
        <v>294.06</v>
      </c>
      <c r="K83" s="2">
        <v>79.04</v>
      </c>
    </row>
    <row r="84" ht="15.75" customHeight="1">
      <c r="A84" s="2" t="s">
        <v>167</v>
      </c>
      <c r="B84" s="3">
        <v>45677.0</v>
      </c>
      <c r="C84" s="2" t="s">
        <v>168</v>
      </c>
      <c r="D84" s="2" t="s">
        <v>48</v>
      </c>
      <c r="E84" s="2" t="s">
        <v>72</v>
      </c>
      <c r="F84" s="2" t="s">
        <v>73</v>
      </c>
      <c r="G84" s="2">
        <v>5.0</v>
      </c>
      <c r="H84" s="2">
        <v>70.13</v>
      </c>
      <c r="I84" s="2">
        <v>0.0</v>
      </c>
      <c r="J84" s="2">
        <v>350.63</v>
      </c>
      <c r="K84" s="2">
        <v>94.4</v>
      </c>
    </row>
    <row r="85" ht="15.75" customHeight="1">
      <c r="A85" s="2" t="s">
        <v>170</v>
      </c>
      <c r="B85" s="3">
        <v>45711.0</v>
      </c>
      <c r="C85" s="2" t="s">
        <v>100</v>
      </c>
      <c r="D85" s="2" t="s">
        <v>13</v>
      </c>
      <c r="E85" s="2" t="s">
        <v>14</v>
      </c>
      <c r="F85" s="2" t="s">
        <v>15</v>
      </c>
      <c r="G85" s="2">
        <v>1.0</v>
      </c>
      <c r="H85" s="2">
        <v>200.48</v>
      </c>
      <c r="I85" s="2">
        <v>0.0</v>
      </c>
      <c r="J85" s="2">
        <v>200.48</v>
      </c>
      <c r="K85" s="2">
        <v>36.25</v>
      </c>
    </row>
    <row r="86" ht="15.75" customHeight="1">
      <c r="A86" s="2" t="s">
        <v>171</v>
      </c>
      <c r="B86" s="3">
        <v>46015.0</v>
      </c>
      <c r="C86" s="2" t="s">
        <v>79</v>
      </c>
      <c r="D86" s="2" t="s">
        <v>23</v>
      </c>
      <c r="E86" s="2" t="s">
        <v>32</v>
      </c>
      <c r="F86" s="2" t="s">
        <v>33</v>
      </c>
      <c r="G86" s="2">
        <v>7.0</v>
      </c>
      <c r="H86" s="2">
        <v>29.67</v>
      </c>
      <c r="I86" s="2">
        <v>0.0</v>
      </c>
      <c r="J86" s="2">
        <v>207.71</v>
      </c>
      <c r="K86" s="2">
        <v>39.45</v>
      </c>
    </row>
    <row r="87" ht="15.75" customHeight="1">
      <c r="A87" s="2" t="s">
        <v>172</v>
      </c>
      <c r="B87" s="3">
        <v>45843.0</v>
      </c>
      <c r="C87" s="2" t="s">
        <v>173</v>
      </c>
      <c r="D87" s="2" t="s">
        <v>48</v>
      </c>
      <c r="E87" s="2" t="s">
        <v>39</v>
      </c>
      <c r="F87" s="2" t="s">
        <v>25</v>
      </c>
      <c r="G87" s="2">
        <v>5.0</v>
      </c>
      <c r="H87" s="2">
        <v>37.61</v>
      </c>
      <c r="I87" s="2">
        <v>0.0</v>
      </c>
      <c r="J87" s="2">
        <v>188.05</v>
      </c>
      <c r="K87" s="2">
        <v>54.02</v>
      </c>
    </row>
    <row r="88" ht="15.75" customHeight="1">
      <c r="A88" s="2" t="s">
        <v>174</v>
      </c>
      <c r="B88" s="3">
        <v>45802.0</v>
      </c>
      <c r="C88" s="2" t="s">
        <v>154</v>
      </c>
      <c r="D88" s="2" t="s">
        <v>19</v>
      </c>
      <c r="E88" s="2" t="s">
        <v>39</v>
      </c>
      <c r="F88" s="2" t="s">
        <v>25</v>
      </c>
      <c r="G88" s="2">
        <v>4.0</v>
      </c>
      <c r="H88" s="2">
        <v>38.13</v>
      </c>
      <c r="I88" s="2">
        <v>0.0</v>
      </c>
      <c r="J88" s="2">
        <v>152.51</v>
      </c>
      <c r="K88" s="2">
        <v>44.13</v>
      </c>
    </row>
    <row r="89" ht="15.75" customHeight="1">
      <c r="A89" s="2" t="s">
        <v>175</v>
      </c>
      <c r="B89" s="3">
        <v>45692.0</v>
      </c>
      <c r="C89" s="2" t="s">
        <v>75</v>
      </c>
      <c r="D89" s="2" t="s">
        <v>48</v>
      </c>
      <c r="E89" s="2" t="s">
        <v>53</v>
      </c>
      <c r="F89" s="2" t="s">
        <v>25</v>
      </c>
      <c r="G89" s="2">
        <v>4.0</v>
      </c>
      <c r="H89" s="2">
        <v>55.9</v>
      </c>
      <c r="I89" s="2">
        <v>0.0</v>
      </c>
      <c r="J89" s="2">
        <v>223.62</v>
      </c>
      <c r="K89" s="2">
        <v>79.02</v>
      </c>
    </row>
    <row r="90" ht="15.75" customHeight="1">
      <c r="A90" s="2" t="s">
        <v>176</v>
      </c>
      <c r="B90" s="3">
        <v>45943.0</v>
      </c>
      <c r="C90" s="2" t="s">
        <v>177</v>
      </c>
      <c r="D90" s="2" t="s">
        <v>13</v>
      </c>
      <c r="E90" s="2" t="s">
        <v>56</v>
      </c>
      <c r="F90" s="2" t="s">
        <v>25</v>
      </c>
      <c r="G90" s="2">
        <v>8.0</v>
      </c>
      <c r="H90" s="2">
        <v>48.62</v>
      </c>
      <c r="I90" s="2">
        <v>0.1</v>
      </c>
      <c r="J90" s="2">
        <v>350.09</v>
      </c>
      <c r="K90" s="2">
        <v>127.24</v>
      </c>
    </row>
    <row r="91" ht="15.75" customHeight="1">
      <c r="A91" s="2" t="s">
        <v>178</v>
      </c>
      <c r="B91" s="3">
        <v>45881.0</v>
      </c>
      <c r="C91" s="2" t="s">
        <v>179</v>
      </c>
      <c r="D91" s="2" t="s">
        <v>19</v>
      </c>
      <c r="E91" s="2" t="s">
        <v>53</v>
      </c>
      <c r="F91" s="4" t="s">
        <v>25</v>
      </c>
      <c r="G91" s="2">
        <v>5.0</v>
      </c>
      <c r="H91" s="2">
        <v>50.83</v>
      </c>
      <c r="I91" s="2">
        <v>0.05</v>
      </c>
      <c r="J91" s="2">
        <v>241.45</v>
      </c>
      <c r="K91" s="2">
        <v>52.61</v>
      </c>
    </row>
    <row r="92" ht="15.75" customHeight="1">
      <c r="A92" s="2" t="s">
        <v>180</v>
      </c>
      <c r="B92" s="3">
        <v>45834.0</v>
      </c>
      <c r="C92" s="2" t="s">
        <v>145</v>
      </c>
      <c r="D92" s="2" t="s">
        <v>19</v>
      </c>
      <c r="E92" s="2" t="s">
        <v>56</v>
      </c>
      <c r="F92" s="2" t="s">
        <v>25</v>
      </c>
      <c r="G92" s="2">
        <v>5.0</v>
      </c>
      <c r="H92" s="2">
        <v>49.92</v>
      </c>
      <c r="I92" s="2">
        <v>0.05</v>
      </c>
      <c r="J92" s="2">
        <v>237.1</v>
      </c>
      <c r="K92" s="2">
        <v>50.78</v>
      </c>
    </row>
    <row r="93" ht="15.75" customHeight="1">
      <c r="A93" s="2" t="s">
        <v>181</v>
      </c>
      <c r="B93" s="3">
        <v>45663.0</v>
      </c>
      <c r="C93" s="2" t="s">
        <v>28</v>
      </c>
      <c r="D93" s="2" t="s">
        <v>19</v>
      </c>
      <c r="E93" s="4" t="s">
        <v>24</v>
      </c>
      <c r="F93" s="2" t="s">
        <v>25</v>
      </c>
      <c r="G93" s="2">
        <v>1.0</v>
      </c>
      <c r="H93" s="2">
        <v>21.7</v>
      </c>
      <c r="I93" s="2">
        <v>0.0</v>
      </c>
      <c r="J93" s="2">
        <v>21.7</v>
      </c>
      <c r="K93" s="2">
        <v>8.0</v>
      </c>
    </row>
    <row r="94" ht="15.75" customHeight="1">
      <c r="A94" s="2" t="s">
        <v>182</v>
      </c>
      <c r="B94" s="3">
        <v>45710.0</v>
      </c>
      <c r="C94" s="2" t="s">
        <v>126</v>
      </c>
      <c r="D94" s="2" t="s">
        <v>48</v>
      </c>
      <c r="E94" s="2" t="s">
        <v>53</v>
      </c>
      <c r="F94" s="2" t="s">
        <v>25</v>
      </c>
      <c r="G94" s="2">
        <v>7.0</v>
      </c>
      <c r="H94" s="2">
        <v>57.2</v>
      </c>
      <c r="I94" s="2">
        <v>0.1</v>
      </c>
      <c r="J94" s="2">
        <v>360.36</v>
      </c>
      <c r="K94" s="2">
        <v>94.76</v>
      </c>
    </row>
    <row r="95" ht="15.75" customHeight="1">
      <c r="A95" s="2" t="s">
        <v>183</v>
      </c>
      <c r="B95" s="3">
        <v>45708.0</v>
      </c>
      <c r="C95" s="2" t="s">
        <v>47</v>
      </c>
      <c r="D95" s="2" t="s">
        <v>19</v>
      </c>
      <c r="E95" s="4" t="s">
        <v>24</v>
      </c>
      <c r="F95" s="2" t="s">
        <v>25</v>
      </c>
      <c r="G95" s="2">
        <v>3.0</v>
      </c>
      <c r="H95" s="2">
        <v>21.11</v>
      </c>
      <c r="I95" s="2">
        <v>0.05</v>
      </c>
      <c r="J95" s="2">
        <v>60.17</v>
      </c>
      <c r="K95" s="2">
        <v>21.31</v>
      </c>
    </row>
    <row r="96" ht="15.75" customHeight="1">
      <c r="A96" s="2" t="s">
        <v>184</v>
      </c>
      <c r="B96" s="3">
        <v>45752.0</v>
      </c>
      <c r="C96" s="2" t="s">
        <v>185</v>
      </c>
      <c r="D96" s="2" t="s">
        <v>13</v>
      </c>
      <c r="E96" s="2" t="s">
        <v>39</v>
      </c>
      <c r="F96" s="2" t="s">
        <v>25</v>
      </c>
      <c r="G96" s="2">
        <v>6.0</v>
      </c>
      <c r="H96" s="2">
        <v>41.36</v>
      </c>
      <c r="I96" s="2">
        <v>0.1</v>
      </c>
      <c r="J96" s="2">
        <v>223.34</v>
      </c>
      <c r="K96" s="2">
        <v>82.78</v>
      </c>
    </row>
    <row r="97" ht="15.75" customHeight="1">
      <c r="A97" s="2" t="s">
        <v>186</v>
      </c>
      <c r="B97" s="3">
        <v>45925.0</v>
      </c>
      <c r="C97" s="2" t="s">
        <v>61</v>
      </c>
      <c r="D97" s="2" t="s">
        <v>48</v>
      </c>
      <c r="E97" s="4" t="s">
        <v>24</v>
      </c>
      <c r="F97" s="2" t="s">
        <v>25</v>
      </c>
      <c r="G97" s="2">
        <v>2.0</v>
      </c>
      <c r="H97" s="2">
        <v>22.07</v>
      </c>
      <c r="I97" s="2">
        <v>0.1</v>
      </c>
      <c r="J97" s="2">
        <v>39.73</v>
      </c>
      <c r="K97" s="2">
        <v>10.96</v>
      </c>
    </row>
    <row r="98" ht="15.75" customHeight="1">
      <c r="A98" s="2" t="s">
        <v>187</v>
      </c>
      <c r="B98" s="3">
        <v>45912.0</v>
      </c>
      <c r="C98" s="2" t="s">
        <v>179</v>
      </c>
      <c r="D98" s="2" t="s">
        <v>13</v>
      </c>
      <c r="E98" s="2" t="s">
        <v>39</v>
      </c>
      <c r="F98" s="2" t="s">
        <v>25</v>
      </c>
      <c r="G98" s="2">
        <v>5.0</v>
      </c>
      <c r="H98" s="2">
        <v>36.43</v>
      </c>
      <c r="I98" s="2">
        <v>0.1</v>
      </c>
      <c r="J98" s="2">
        <v>163.94</v>
      </c>
      <c r="K98" s="2">
        <v>42.95</v>
      </c>
    </row>
    <row r="99" ht="15.75" customHeight="1">
      <c r="A99" s="2" t="s">
        <v>188</v>
      </c>
      <c r="B99" s="3">
        <v>45849.0</v>
      </c>
      <c r="C99" s="2" t="s">
        <v>173</v>
      </c>
      <c r="D99" s="2" t="s">
        <v>48</v>
      </c>
      <c r="E99" s="2" t="s">
        <v>14</v>
      </c>
      <c r="F99" s="2" t="s">
        <v>15</v>
      </c>
      <c r="G99" s="2">
        <v>5.0</v>
      </c>
      <c r="H99" s="2">
        <v>214.04</v>
      </c>
      <c r="I99" s="2">
        <v>0.1</v>
      </c>
      <c r="J99" s="2">
        <v>963.19</v>
      </c>
      <c r="K99" s="2">
        <v>324.99</v>
      </c>
    </row>
    <row r="100" ht="15.75" customHeight="1">
      <c r="A100" s="2" t="s">
        <v>189</v>
      </c>
      <c r="B100" s="3">
        <v>45965.0</v>
      </c>
      <c r="C100" s="2" t="s">
        <v>168</v>
      </c>
      <c r="D100" s="2" t="s">
        <v>48</v>
      </c>
      <c r="E100" s="2" t="s">
        <v>72</v>
      </c>
      <c r="F100" s="2" t="s">
        <v>73</v>
      </c>
      <c r="G100" s="2">
        <v>2.0</v>
      </c>
      <c r="H100" s="2">
        <v>65.94</v>
      </c>
      <c r="I100" s="2">
        <v>0.05</v>
      </c>
      <c r="J100" s="2">
        <v>125.28</v>
      </c>
      <c r="K100" s="2">
        <v>36.64</v>
      </c>
    </row>
    <row r="101" ht="15.75" customHeight="1">
      <c r="A101" s="2" t="s">
        <v>190</v>
      </c>
      <c r="B101" s="3">
        <v>45738.0</v>
      </c>
      <c r="C101" s="2" t="s">
        <v>133</v>
      </c>
      <c r="D101" s="2" t="s">
        <v>19</v>
      </c>
      <c r="E101" s="2" t="s">
        <v>37</v>
      </c>
      <c r="F101" s="2" t="s">
        <v>25</v>
      </c>
      <c r="G101" s="2">
        <v>8.0</v>
      </c>
      <c r="H101" s="2">
        <v>37.3</v>
      </c>
      <c r="I101" s="2">
        <v>0.0</v>
      </c>
      <c r="J101" s="2">
        <v>298.39</v>
      </c>
      <c r="K101" s="2">
        <v>82.14</v>
      </c>
    </row>
    <row r="102" ht="15.75" customHeight="1">
      <c r="A102" s="2" t="s">
        <v>191</v>
      </c>
      <c r="B102" s="3">
        <v>45726.0</v>
      </c>
      <c r="C102" s="2" t="s">
        <v>192</v>
      </c>
      <c r="D102" s="2" t="s">
        <v>48</v>
      </c>
      <c r="E102" s="2" t="s">
        <v>39</v>
      </c>
      <c r="F102" s="2" t="s">
        <v>25</v>
      </c>
      <c r="G102" s="2">
        <v>2.0</v>
      </c>
      <c r="H102" s="2">
        <v>41.66</v>
      </c>
      <c r="I102" s="2">
        <v>0.05</v>
      </c>
      <c r="J102" s="2">
        <v>79.16</v>
      </c>
      <c r="K102" s="2">
        <v>25.99</v>
      </c>
    </row>
    <row r="103" ht="15.75" customHeight="1">
      <c r="A103" s="2" t="s">
        <v>193</v>
      </c>
      <c r="B103" s="3">
        <v>45768.0</v>
      </c>
      <c r="C103" s="2" t="s">
        <v>168</v>
      </c>
      <c r="D103" s="2" t="s">
        <v>13</v>
      </c>
      <c r="E103" s="2" t="s">
        <v>53</v>
      </c>
      <c r="F103" s="2" t="s">
        <v>25</v>
      </c>
      <c r="G103" s="2">
        <v>2.0</v>
      </c>
      <c r="H103" s="2">
        <v>53.49</v>
      </c>
      <c r="I103" s="2">
        <v>0.05</v>
      </c>
      <c r="J103" s="2">
        <v>101.64</v>
      </c>
      <c r="K103" s="2">
        <v>33.74</v>
      </c>
    </row>
    <row r="104" ht="15.75" customHeight="1">
      <c r="A104" s="2" t="s">
        <v>194</v>
      </c>
      <c r="B104" s="3">
        <v>46017.0</v>
      </c>
      <c r="C104" s="2" t="s">
        <v>36</v>
      </c>
      <c r="D104" s="2" t="s">
        <v>23</v>
      </c>
      <c r="E104" s="2" t="s">
        <v>14</v>
      </c>
      <c r="F104" s="2" t="s">
        <v>15</v>
      </c>
      <c r="G104" s="2">
        <v>8.0</v>
      </c>
      <c r="H104" s="2">
        <v>198.3</v>
      </c>
      <c r="I104" s="2">
        <v>0.0</v>
      </c>
      <c r="J104" s="2">
        <v>1586.43</v>
      </c>
      <c r="K104" s="2">
        <v>399.5</v>
      </c>
    </row>
    <row r="105" ht="15.75" customHeight="1">
      <c r="A105" s="2" t="s">
        <v>195</v>
      </c>
      <c r="B105" s="3">
        <v>45718.0</v>
      </c>
      <c r="C105" s="2" t="s">
        <v>12</v>
      </c>
      <c r="D105" s="2" t="s">
        <v>13</v>
      </c>
      <c r="E105" s="2" t="s">
        <v>37</v>
      </c>
      <c r="F105" s="2" t="s">
        <v>25</v>
      </c>
      <c r="G105" s="2">
        <v>3.0</v>
      </c>
      <c r="H105" s="2">
        <v>37.1</v>
      </c>
      <c r="I105" s="2">
        <v>0.05</v>
      </c>
      <c r="J105" s="2">
        <v>105.72</v>
      </c>
      <c r="K105" s="2">
        <v>19.6</v>
      </c>
    </row>
    <row r="106" ht="15.75" customHeight="1">
      <c r="A106" s="2" t="s">
        <v>196</v>
      </c>
      <c r="B106" s="3">
        <v>45983.0</v>
      </c>
      <c r="C106" s="2" t="s">
        <v>61</v>
      </c>
      <c r="D106" s="2" t="s">
        <v>19</v>
      </c>
      <c r="E106" s="2" t="s">
        <v>56</v>
      </c>
      <c r="F106" s="2" t="s">
        <v>25</v>
      </c>
      <c r="G106" s="2">
        <v>5.0</v>
      </c>
      <c r="H106" s="2">
        <v>45.46</v>
      </c>
      <c r="I106" s="2">
        <v>0.0</v>
      </c>
      <c r="J106" s="2">
        <v>227.29</v>
      </c>
      <c r="K106" s="2">
        <v>78.32</v>
      </c>
    </row>
    <row r="107" ht="15.75" customHeight="1">
      <c r="A107" s="2" t="s">
        <v>197</v>
      </c>
      <c r="B107" s="3">
        <v>45958.0</v>
      </c>
      <c r="C107" s="2" t="s">
        <v>140</v>
      </c>
      <c r="D107" s="2" t="s">
        <v>19</v>
      </c>
      <c r="E107" s="2" t="s">
        <v>37</v>
      </c>
      <c r="F107" s="2" t="s">
        <v>25</v>
      </c>
      <c r="G107" s="2">
        <v>4.0</v>
      </c>
      <c r="H107" s="2">
        <v>33.36</v>
      </c>
      <c r="I107" s="2">
        <v>0.05</v>
      </c>
      <c r="J107" s="2">
        <v>126.75</v>
      </c>
      <c r="K107" s="2">
        <v>35.4</v>
      </c>
    </row>
    <row r="108" ht="15.75" customHeight="1">
      <c r="A108" s="2" t="s">
        <v>198</v>
      </c>
      <c r="B108" s="3">
        <v>45764.0</v>
      </c>
      <c r="C108" s="2" t="s">
        <v>45</v>
      </c>
      <c r="D108" s="2" t="s">
        <v>19</v>
      </c>
      <c r="E108" s="4" t="s">
        <v>24</v>
      </c>
      <c r="F108" s="2" t="s">
        <v>25</v>
      </c>
      <c r="G108" s="2">
        <v>1.0</v>
      </c>
      <c r="H108" s="2">
        <v>21.93</v>
      </c>
      <c r="I108" s="2">
        <v>0.05</v>
      </c>
      <c r="J108" s="2">
        <v>20.84</v>
      </c>
      <c r="K108" s="2">
        <v>5.79</v>
      </c>
    </row>
    <row r="109" ht="15.75" customHeight="1">
      <c r="A109" s="2" t="s">
        <v>199</v>
      </c>
      <c r="B109" s="3">
        <v>45837.0</v>
      </c>
      <c r="C109" s="2" t="s">
        <v>77</v>
      </c>
      <c r="D109" s="2" t="s">
        <v>13</v>
      </c>
      <c r="E109" s="2" t="s">
        <v>37</v>
      </c>
      <c r="F109" s="2" t="s">
        <v>25</v>
      </c>
      <c r="G109" s="2">
        <v>2.0</v>
      </c>
      <c r="H109" s="2">
        <v>37.06</v>
      </c>
      <c r="I109" s="2">
        <v>0.0</v>
      </c>
      <c r="J109" s="2">
        <v>74.12</v>
      </c>
      <c r="K109" s="2">
        <v>19.31</v>
      </c>
    </row>
    <row r="110" ht="15.75" customHeight="1">
      <c r="A110" s="2" t="s">
        <v>200</v>
      </c>
      <c r="B110" s="3">
        <v>45873.0</v>
      </c>
      <c r="C110" s="2" t="s">
        <v>83</v>
      </c>
      <c r="D110" s="2" t="s">
        <v>19</v>
      </c>
      <c r="E110" s="2" t="s">
        <v>14</v>
      </c>
      <c r="F110" s="2" t="s">
        <v>15</v>
      </c>
      <c r="G110" s="2">
        <v>8.0</v>
      </c>
      <c r="H110" s="2">
        <v>209.48</v>
      </c>
      <c r="I110" s="2">
        <v>0.05</v>
      </c>
      <c r="J110" s="2">
        <v>1592.05</v>
      </c>
      <c r="K110" s="2">
        <v>487.51</v>
      </c>
    </row>
    <row r="111" ht="15.75" customHeight="1">
      <c r="A111" s="2" t="s">
        <v>201</v>
      </c>
      <c r="B111" s="3">
        <v>45895.0</v>
      </c>
      <c r="C111" s="2" t="s">
        <v>142</v>
      </c>
      <c r="D111" s="2" t="s">
        <v>13</v>
      </c>
      <c r="E111" s="4" t="s">
        <v>24</v>
      </c>
      <c r="F111" s="2" t="s">
        <v>25</v>
      </c>
      <c r="G111" s="2">
        <v>6.0</v>
      </c>
      <c r="H111" s="2">
        <v>20.76</v>
      </c>
      <c r="I111" s="2">
        <v>0.0</v>
      </c>
      <c r="J111" s="2">
        <v>124.56</v>
      </c>
      <c r="K111" s="2">
        <v>30.21</v>
      </c>
    </row>
    <row r="112" ht="15.75" customHeight="1">
      <c r="A112" s="2" t="s">
        <v>202</v>
      </c>
      <c r="B112" s="3">
        <v>45849.0</v>
      </c>
      <c r="C112" s="2" t="s">
        <v>203</v>
      </c>
      <c r="D112" s="2" t="s">
        <v>13</v>
      </c>
      <c r="E112" s="2" t="s">
        <v>39</v>
      </c>
      <c r="F112" s="2" t="s">
        <v>25</v>
      </c>
      <c r="G112" s="2">
        <v>5.0</v>
      </c>
      <c r="H112" s="2">
        <v>41.29</v>
      </c>
      <c r="I112" s="2">
        <v>0.05</v>
      </c>
      <c r="J112" s="2">
        <v>196.13</v>
      </c>
      <c r="K112" s="2">
        <v>58.95</v>
      </c>
    </row>
    <row r="113" ht="15.75" customHeight="1">
      <c r="A113" s="2" t="s">
        <v>204</v>
      </c>
      <c r="B113" s="3">
        <v>45783.0</v>
      </c>
      <c r="C113" s="2" t="s">
        <v>70</v>
      </c>
      <c r="D113" s="2" t="s">
        <v>19</v>
      </c>
      <c r="E113" s="2" t="s">
        <v>53</v>
      </c>
      <c r="F113" s="2" t="s">
        <v>25</v>
      </c>
      <c r="G113" s="2">
        <v>4.0</v>
      </c>
      <c r="H113" s="2">
        <v>50.78</v>
      </c>
      <c r="I113" s="2">
        <v>0.0</v>
      </c>
      <c r="J113" s="2">
        <v>203.11</v>
      </c>
      <c r="K113" s="2">
        <v>68.59</v>
      </c>
    </row>
    <row r="114" ht="15.75" customHeight="1">
      <c r="A114" s="2" t="s">
        <v>205</v>
      </c>
      <c r="B114" s="3">
        <v>45766.0</v>
      </c>
      <c r="C114" s="2" t="s">
        <v>150</v>
      </c>
      <c r="D114" s="2" t="s">
        <v>13</v>
      </c>
      <c r="E114" s="2" t="s">
        <v>37</v>
      </c>
      <c r="F114" s="2" t="s">
        <v>25</v>
      </c>
      <c r="G114" s="2">
        <v>5.0</v>
      </c>
      <c r="H114" s="2">
        <v>35.52</v>
      </c>
      <c r="I114" s="2">
        <v>0.05</v>
      </c>
      <c r="J114" s="2">
        <v>168.74</v>
      </c>
      <c r="K114" s="2">
        <v>37.49</v>
      </c>
    </row>
    <row r="115" ht="15.75" customHeight="1">
      <c r="A115" s="2" t="s">
        <v>206</v>
      </c>
      <c r="B115" s="3">
        <v>45893.0</v>
      </c>
      <c r="C115" s="2" t="s">
        <v>207</v>
      </c>
      <c r="D115" s="2" t="s">
        <v>48</v>
      </c>
      <c r="E115" s="2" t="s">
        <v>39</v>
      </c>
      <c r="F115" s="2" t="s">
        <v>25</v>
      </c>
      <c r="G115" s="2">
        <v>7.0</v>
      </c>
      <c r="H115" s="2">
        <v>40.48</v>
      </c>
      <c r="I115" s="2">
        <v>0.05</v>
      </c>
      <c r="J115" s="2">
        <v>269.18</v>
      </c>
      <c r="K115" s="2">
        <v>70.71</v>
      </c>
    </row>
    <row r="116" ht="15.75" customHeight="1">
      <c r="A116" s="2" t="s">
        <v>208</v>
      </c>
      <c r="B116" s="3">
        <v>45972.0</v>
      </c>
      <c r="C116" s="2" t="s">
        <v>47</v>
      </c>
      <c r="D116" s="2" t="s">
        <v>48</v>
      </c>
      <c r="E116" s="2" t="s">
        <v>37</v>
      </c>
      <c r="F116" s="2" t="s">
        <v>25</v>
      </c>
      <c r="G116" s="2">
        <v>5.0</v>
      </c>
      <c r="H116" s="2">
        <v>34.23</v>
      </c>
      <c r="I116" s="2">
        <v>0.05</v>
      </c>
      <c r="J116" s="2">
        <v>162.61</v>
      </c>
      <c r="K116" s="2">
        <v>43.23</v>
      </c>
    </row>
    <row r="117" ht="15.75" customHeight="1">
      <c r="A117" s="2" t="s">
        <v>209</v>
      </c>
      <c r="B117" s="3">
        <v>45769.0</v>
      </c>
      <c r="C117" s="2" t="s">
        <v>36</v>
      </c>
      <c r="D117" s="2" t="s">
        <v>48</v>
      </c>
      <c r="E117" s="2" t="s">
        <v>53</v>
      </c>
      <c r="F117" s="2" t="s">
        <v>25</v>
      </c>
      <c r="G117" s="2">
        <v>1.0</v>
      </c>
      <c r="H117" s="2">
        <v>52.69</v>
      </c>
      <c r="I117" s="2">
        <v>0.0</v>
      </c>
      <c r="J117" s="2">
        <v>52.69</v>
      </c>
      <c r="K117" s="2">
        <v>18.41</v>
      </c>
    </row>
    <row r="118" ht="15.75" customHeight="1">
      <c r="A118" s="2" t="s">
        <v>210</v>
      </c>
      <c r="B118" s="3">
        <v>45904.0</v>
      </c>
      <c r="C118" s="2" t="s">
        <v>110</v>
      </c>
      <c r="D118" s="2" t="s">
        <v>13</v>
      </c>
      <c r="E118" s="2" t="s">
        <v>56</v>
      </c>
      <c r="F118" s="2" t="s">
        <v>25</v>
      </c>
      <c r="G118" s="2">
        <v>6.0</v>
      </c>
      <c r="H118" s="2">
        <v>46.35</v>
      </c>
      <c r="I118" s="9">
        <v>0.0</v>
      </c>
      <c r="J118" s="2">
        <v>278.1</v>
      </c>
      <c r="K118" s="2">
        <v>55.8</v>
      </c>
    </row>
    <row r="119" ht="15.75" customHeight="1">
      <c r="A119" s="2" t="s">
        <v>211</v>
      </c>
      <c r="B119" s="3">
        <v>45877.0</v>
      </c>
      <c r="C119" s="2" t="s">
        <v>212</v>
      </c>
      <c r="D119" s="2" t="s">
        <v>23</v>
      </c>
      <c r="E119" s="2" t="s">
        <v>14</v>
      </c>
      <c r="F119" s="2" t="s">
        <v>15</v>
      </c>
      <c r="G119" s="2">
        <v>8.0</v>
      </c>
      <c r="H119" s="2">
        <v>216.62</v>
      </c>
      <c r="I119" s="2">
        <v>0.15</v>
      </c>
      <c r="J119" s="2">
        <v>1473.0</v>
      </c>
      <c r="K119" s="2">
        <v>295.6</v>
      </c>
    </row>
    <row r="120" ht="15.75" customHeight="1">
      <c r="A120" s="2" t="s">
        <v>213</v>
      </c>
      <c r="B120" s="3">
        <v>45719.0</v>
      </c>
      <c r="C120" s="2" t="s">
        <v>168</v>
      </c>
      <c r="D120" s="2" t="s">
        <v>48</v>
      </c>
      <c r="E120" s="2" t="s">
        <v>14</v>
      </c>
      <c r="F120" s="2" t="s">
        <v>15</v>
      </c>
      <c r="G120" s="2">
        <v>6.0</v>
      </c>
      <c r="H120" s="2">
        <v>225.96</v>
      </c>
      <c r="I120" s="2">
        <v>0.05</v>
      </c>
      <c r="J120" s="2">
        <v>1287.98</v>
      </c>
      <c r="K120" s="2">
        <v>303.22</v>
      </c>
    </row>
    <row r="121" ht="15.75" customHeight="1">
      <c r="A121" s="2" t="s">
        <v>214</v>
      </c>
      <c r="B121" s="3">
        <v>45983.0</v>
      </c>
      <c r="C121" s="2" t="s">
        <v>135</v>
      </c>
      <c r="D121" s="2" t="s">
        <v>48</v>
      </c>
      <c r="E121" s="2" t="s">
        <v>14</v>
      </c>
      <c r="F121" s="2" t="s">
        <v>15</v>
      </c>
      <c r="G121" s="2">
        <v>3.0</v>
      </c>
      <c r="H121" s="2">
        <v>212.41</v>
      </c>
      <c r="I121" s="2">
        <v>0.0</v>
      </c>
      <c r="J121" s="2">
        <v>637.22</v>
      </c>
      <c r="K121" s="2">
        <v>144.08</v>
      </c>
    </row>
    <row r="122" ht="15.75" customHeight="1">
      <c r="A122" s="2" t="s">
        <v>215</v>
      </c>
      <c r="B122" s="3">
        <v>45658.0</v>
      </c>
      <c r="C122" s="2" t="s">
        <v>135</v>
      </c>
      <c r="D122" s="2" t="s">
        <v>48</v>
      </c>
      <c r="E122" s="2" t="s">
        <v>39</v>
      </c>
      <c r="F122" s="2" t="s">
        <v>25</v>
      </c>
      <c r="G122" s="2">
        <v>3.0</v>
      </c>
      <c r="H122" s="2">
        <v>37.12</v>
      </c>
      <c r="I122" s="2">
        <v>0.1</v>
      </c>
      <c r="J122" s="2">
        <v>100.24</v>
      </c>
      <c r="K122" s="2">
        <v>27.47</v>
      </c>
    </row>
    <row r="123" ht="15.75" customHeight="1">
      <c r="A123" s="2" t="s">
        <v>216</v>
      </c>
      <c r="B123" s="3">
        <v>45916.0</v>
      </c>
      <c r="C123" s="2" t="s">
        <v>22</v>
      </c>
      <c r="D123" s="2" t="s">
        <v>48</v>
      </c>
      <c r="E123" s="2" t="s">
        <v>32</v>
      </c>
      <c r="F123" s="2" t="s">
        <v>33</v>
      </c>
      <c r="G123" s="2">
        <v>6.0</v>
      </c>
      <c r="H123" s="2">
        <v>32.42</v>
      </c>
      <c r="I123" s="2">
        <v>0.0</v>
      </c>
      <c r="J123" s="2">
        <v>194.5</v>
      </c>
      <c r="K123" s="2">
        <v>55.19</v>
      </c>
    </row>
    <row r="124" ht="15.75" customHeight="1">
      <c r="A124" s="2" t="s">
        <v>217</v>
      </c>
      <c r="B124" s="3">
        <v>45670.0</v>
      </c>
      <c r="C124" s="2" t="s">
        <v>114</v>
      </c>
      <c r="D124" s="2" t="s">
        <v>48</v>
      </c>
      <c r="E124" s="4" t="s">
        <v>24</v>
      </c>
      <c r="F124" s="2" t="s">
        <v>25</v>
      </c>
      <c r="G124" s="2">
        <v>8.0</v>
      </c>
      <c r="H124" s="2">
        <v>20.71</v>
      </c>
      <c r="I124" s="2">
        <v>0.0</v>
      </c>
      <c r="J124" s="2">
        <v>165.71</v>
      </c>
      <c r="K124" s="2">
        <v>30.16</v>
      </c>
    </row>
    <row r="125" ht="15.75" customHeight="1">
      <c r="A125" s="2" t="s">
        <v>218</v>
      </c>
      <c r="B125" s="3">
        <v>45695.0</v>
      </c>
      <c r="C125" s="2" t="s">
        <v>219</v>
      </c>
      <c r="D125" s="2" t="s">
        <v>13</v>
      </c>
      <c r="E125" s="2" t="s">
        <v>39</v>
      </c>
      <c r="F125" s="2" t="s">
        <v>25</v>
      </c>
      <c r="G125" s="2">
        <v>1.0</v>
      </c>
      <c r="H125" s="2">
        <v>36.75</v>
      </c>
      <c r="I125" s="2">
        <v>0.0</v>
      </c>
      <c r="J125" s="2">
        <v>36.75</v>
      </c>
      <c r="K125" s="2">
        <v>13.11</v>
      </c>
    </row>
    <row r="126" ht="15.75" customHeight="1">
      <c r="A126" s="2" t="s">
        <v>220</v>
      </c>
      <c r="B126" s="3">
        <v>45991.0</v>
      </c>
      <c r="C126" s="2" t="s">
        <v>108</v>
      </c>
      <c r="D126" s="2" t="s">
        <v>23</v>
      </c>
      <c r="E126" s="2" t="s">
        <v>72</v>
      </c>
      <c r="F126" s="2" t="s">
        <v>73</v>
      </c>
      <c r="G126" s="2">
        <v>7.0</v>
      </c>
      <c r="H126" s="2">
        <v>69.47</v>
      </c>
      <c r="I126" s="2">
        <v>0.1</v>
      </c>
      <c r="J126" s="2">
        <v>437.64</v>
      </c>
      <c r="K126" s="2">
        <v>81.84</v>
      </c>
    </row>
    <row r="127" ht="15.75" customHeight="1">
      <c r="A127" s="2" t="s">
        <v>221</v>
      </c>
      <c r="B127" s="3">
        <v>45977.0</v>
      </c>
      <c r="C127" s="2" t="s">
        <v>18</v>
      </c>
      <c r="D127" s="2" t="s">
        <v>23</v>
      </c>
      <c r="E127" s="2" t="s">
        <v>56</v>
      </c>
      <c r="F127" s="2" t="s">
        <v>25</v>
      </c>
      <c r="G127" s="2">
        <v>1.0</v>
      </c>
      <c r="H127" s="2">
        <v>45.73</v>
      </c>
      <c r="I127" s="2">
        <v>0.05</v>
      </c>
      <c r="J127" s="2">
        <v>43.45</v>
      </c>
      <c r="K127" s="2">
        <v>8.46</v>
      </c>
    </row>
    <row r="128" ht="15.75" customHeight="1">
      <c r="A128" s="2" t="s">
        <v>222</v>
      </c>
      <c r="B128" s="3">
        <v>45943.0</v>
      </c>
      <c r="C128" s="2" t="s">
        <v>116</v>
      </c>
      <c r="D128" s="2" t="s">
        <v>19</v>
      </c>
      <c r="E128" s="2" t="s">
        <v>32</v>
      </c>
      <c r="F128" s="2" t="s">
        <v>33</v>
      </c>
      <c r="G128" s="2">
        <v>5.0</v>
      </c>
      <c r="H128" s="2">
        <v>30.16</v>
      </c>
      <c r="I128" s="2">
        <v>0.1</v>
      </c>
      <c r="J128" s="2">
        <v>135.7</v>
      </c>
      <c r="K128" s="2">
        <v>46.09</v>
      </c>
    </row>
    <row r="129" ht="15.75" customHeight="1">
      <c r="A129" s="2" t="s">
        <v>223</v>
      </c>
      <c r="B129" s="3">
        <v>45746.0</v>
      </c>
      <c r="C129" s="2" t="s">
        <v>47</v>
      </c>
      <c r="D129" s="2" t="s">
        <v>48</v>
      </c>
      <c r="E129" s="2" t="s">
        <v>53</v>
      </c>
      <c r="F129" s="2" t="s">
        <v>25</v>
      </c>
      <c r="G129" s="2">
        <v>5.0</v>
      </c>
      <c r="H129" s="2">
        <v>52.67</v>
      </c>
      <c r="I129" s="2">
        <v>0.05</v>
      </c>
      <c r="J129" s="2">
        <v>250.2</v>
      </c>
      <c r="K129" s="2">
        <v>49.65</v>
      </c>
    </row>
    <row r="130" ht="15.75" customHeight="1">
      <c r="A130" s="2" t="s">
        <v>224</v>
      </c>
      <c r="B130" s="3">
        <v>45836.0</v>
      </c>
      <c r="C130" s="2" t="s">
        <v>225</v>
      </c>
      <c r="D130" s="2" t="s">
        <v>19</v>
      </c>
      <c r="E130" s="2" t="s">
        <v>37</v>
      </c>
      <c r="F130" s="2" t="s">
        <v>25</v>
      </c>
      <c r="G130" s="2">
        <v>2.0</v>
      </c>
      <c r="H130" s="2">
        <v>36.77</v>
      </c>
      <c r="I130" s="2">
        <v>0.05</v>
      </c>
      <c r="J130" s="2">
        <v>69.87</v>
      </c>
      <c r="K130" s="2">
        <v>21.28</v>
      </c>
    </row>
    <row r="131" ht="15.75" customHeight="1">
      <c r="A131" s="2" t="s">
        <v>226</v>
      </c>
      <c r="B131" s="3">
        <v>45966.0</v>
      </c>
      <c r="C131" s="2" t="s">
        <v>114</v>
      </c>
      <c r="D131" s="2" t="s">
        <v>23</v>
      </c>
      <c r="E131" s="2" t="s">
        <v>14</v>
      </c>
      <c r="F131" s="2" t="s">
        <v>15</v>
      </c>
      <c r="G131" s="2">
        <v>7.0</v>
      </c>
      <c r="H131" s="2">
        <v>210.09</v>
      </c>
      <c r="I131" s="2">
        <v>0.0</v>
      </c>
      <c r="J131" s="2">
        <v>1470.64</v>
      </c>
      <c r="K131" s="2">
        <v>294.25</v>
      </c>
    </row>
    <row r="132" ht="15.75" customHeight="1">
      <c r="A132" s="2" t="s">
        <v>227</v>
      </c>
      <c r="B132" s="3">
        <v>45699.0</v>
      </c>
      <c r="C132" s="2" t="s">
        <v>31</v>
      </c>
      <c r="D132" s="2" t="s">
        <v>13</v>
      </c>
      <c r="E132" s="2" t="s">
        <v>56</v>
      </c>
      <c r="F132" s="2" t="s">
        <v>25</v>
      </c>
      <c r="G132" s="2">
        <v>7.0</v>
      </c>
      <c r="H132" s="2">
        <v>45.06</v>
      </c>
      <c r="I132" s="2">
        <v>0.15</v>
      </c>
      <c r="J132" s="2">
        <v>268.09</v>
      </c>
      <c r="K132" s="2">
        <v>68.22</v>
      </c>
    </row>
    <row r="133" ht="15.75" customHeight="1">
      <c r="A133" s="2" t="s">
        <v>228</v>
      </c>
      <c r="B133" s="3">
        <v>45814.0</v>
      </c>
      <c r="C133" s="2" t="s">
        <v>225</v>
      </c>
      <c r="D133" s="2" t="s">
        <v>19</v>
      </c>
      <c r="E133" s="2" t="s">
        <v>14</v>
      </c>
      <c r="F133" s="2" t="s">
        <v>15</v>
      </c>
      <c r="G133" s="2">
        <v>5.0</v>
      </c>
      <c r="H133" s="2">
        <v>209.85</v>
      </c>
      <c r="I133" s="2">
        <v>0.1</v>
      </c>
      <c r="J133" s="2">
        <v>944.31</v>
      </c>
      <c r="K133" s="2">
        <v>250.59</v>
      </c>
    </row>
    <row r="134" ht="15.75" customHeight="1">
      <c r="A134" s="2" t="s">
        <v>229</v>
      </c>
      <c r="B134" s="3">
        <v>45743.0</v>
      </c>
      <c r="C134" s="2" t="s">
        <v>83</v>
      </c>
      <c r="D134" s="2" t="s">
        <v>48</v>
      </c>
      <c r="E134" s="2" t="s">
        <v>37</v>
      </c>
      <c r="F134" s="2" t="s">
        <v>25</v>
      </c>
      <c r="G134" s="2">
        <v>5.0</v>
      </c>
      <c r="H134" s="2">
        <v>33.59</v>
      </c>
      <c r="I134" s="2">
        <v>0.1</v>
      </c>
      <c r="J134" s="2">
        <v>151.16</v>
      </c>
      <c r="K134" s="2">
        <v>56.43</v>
      </c>
    </row>
    <row r="135" ht="15.75" customHeight="1">
      <c r="A135" s="2" t="s">
        <v>230</v>
      </c>
      <c r="B135" s="3">
        <v>45960.0</v>
      </c>
      <c r="C135" s="2" t="s">
        <v>41</v>
      </c>
      <c r="D135" s="2" t="s">
        <v>19</v>
      </c>
      <c r="E135" s="2" t="s">
        <v>53</v>
      </c>
      <c r="F135" s="2" t="s">
        <v>25</v>
      </c>
      <c r="G135" s="2">
        <v>3.0</v>
      </c>
      <c r="H135" s="2">
        <v>57.24</v>
      </c>
      <c r="I135" s="2">
        <v>0.0</v>
      </c>
      <c r="J135" s="2">
        <v>171.72</v>
      </c>
      <c r="K135" s="2">
        <v>46.83</v>
      </c>
    </row>
    <row r="136" ht="15.75" customHeight="1">
      <c r="A136" s="2" t="s">
        <v>231</v>
      </c>
      <c r="B136" s="3">
        <v>45704.0</v>
      </c>
      <c r="C136" s="2" t="s">
        <v>36</v>
      </c>
      <c r="D136" s="2" t="s">
        <v>23</v>
      </c>
      <c r="E136" s="2" t="s">
        <v>32</v>
      </c>
      <c r="F136" s="2" t="s">
        <v>33</v>
      </c>
      <c r="G136" s="2">
        <v>4.0</v>
      </c>
      <c r="H136" s="2">
        <v>31.47</v>
      </c>
      <c r="I136" s="2">
        <v>0.1</v>
      </c>
      <c r="J136" s="2">
        <v>113.31</v>
      </c>
      <c r="K136" s="2">
        <v>39.66</v>
      </c>
    </row>
    <row r="137" ht="15.75" customHeight="1">
      <c r="A137" s="2" t="s">
        <v>232</v>
      </c>
      <c r="B137" s="3">
        <v>45939.0</v>
      </c>
      <c r="C137" s="2" t="s">
        <v>142</v>
      </c>
      <c r="D137" s="2" t="s">
        <v>13</v>
      </c>
      <c r="E137" s="2" t="s">
        <v>53</v>
      </c>
      <c r="F137" s="2" t="s">
        <v>25</v>
      </c>
      <c r="G137" s="2">
        <v>2.0</v>
      </c>
      <c r="H137" s="2">
        <v>50.71</v>
      </c>
      <c r="I137" s="2">
        <v>0.05</v>
      </c>
      <c r="J137" s="2">
        <v>96.34</v>
      </c>
      <c r="K137" s="2">
        <v>25.71</v>
      </c>
    </row>
    <row r="138" ht="15.75" customHeight="1">
      <c r="A138" s="2" t="s">
        <v>233</v>
      </c>
      <c r="B138" s="3">
        <v>45857.0</v>
      </c>
      <c r="C138" s="2" t="s">
        <v>234</v>
      </c>
      <c r="D138" s="2" t="s">
        <v>13</v>
      </c>
      <c r="E138" s="2" t="s">
        <v>53</v>
      </c>
      <c r="F138" s="2" t="s">
        <v>25</v>
      </c>
      <c r="G138" s="2">
        <v>4.0</v>
      </c>
      <c r="H138" s="2">
        <v>52.2</v>
      </c>
      <c r="I138" s="2">
        <v>0.1</v>
      </c>
      <c r="J138" s="2">
        <v>187.91</v>
      </c>
      <c r="K138" s="2">
        <v>49.48</v>
      </c>
    </row>
    <row r="139" ht="15.75" customHeight="1">
      <c r="A139" s="2" t="s">
        <v>235</v>
      </c>
      <c r="B139" s="3">
        <v>45867.0</v>
      </c>
      <c r="C139" s="2" t="s">
        <v>203</v>
      </c>
      <c r="D139" s="2" t="s">
        <v>19</v>
      </c>
      <c r="E139" s="4" t="s">
        <v>24</v>
      </c>
      <c r="F139" s="2" t="s">
        <v>25</v>
      </c>
      <c r="G139" s="2">
        <v>6.0</v>
      </c>
      <c r="H139" s="2">
        <v>22.4</v>
      </c>
      <c r="I139" s="2">
        <v>0.1</v>
      </c>
      <c r="J139" s="2">
        <v>120.98</v>
      </c>
      <c r="K139" s="2">
        <v>42.61</v>
      </c>
    </row>
    <row r="140" ht="15.75" customHeight="1">
      <c r="A140" s="2" t="s">
        <v>236</v>
      </c>
      <c r="B140" s="3">
        <v>45981.0</v>
      </c>
      <c r="C140" s="2" t="s">
        <v>133</v>
      </c>
      <c r="D140" s="2" t="s">
        <v>23</v>
      </c>
      <c r="E140" s="2" t="s">
        <v>14</v>
      </c>
      <c r="F140" s="2" t="s">
        <v>15</v>
      </c>
      <c r="G140" s="2">
        <v>8.0</v>
      </c>
      <c r="H140" s="2">
        <v>222.5</v>
      </c>
      <c r="I140" s="2">
        <v>0.15</v>
      </c>
      <c r="J140" s="2">
        <v>1513.02</v>
      </c>
      <c r="K140" s="2">
        <v>403.94</v>
      </c>
    </row>
    <row r="141" ht="15.75" customHeight="1">
      <c r="A141" s="2" t="s">
        <v>237</v>
      </c>
      <c r="B141" s="3">
        <v>45708.0</v>
      </c>
      <c r="C141" s="2" t="s">
        <v>43</v>
      </c>
      <c r="D141" s="2" t="s">
        <v>48</v>
      </c>
      <c r="E141" s="2" t="s">
        <v>53</v>
      </c>
      <c r="F141" s="2" t="s">
        <v>25</v>
      </c>
      <c r="G141" s="2">
        <v>8.0</v>
      </c>
      <c r="H141" s="2">
        <v>56.33</v>
      </c>
      <c r="I141" s="2">
        <v>0.1</v>
      </c>
      <c r="J141" s="2">
        <v>405.59</v>
      </c>
      <c r="K141" s="2">
        <v>123.75</v>
      </c>
    </row>
    <row r="142" ht="15.75" customHeight="1">
      <c r="A142" s="2" t="s">
        <v>238</v>
      </c>
      <c r="B142" s="3">
        <v>46003.0</v>
      </c>
      <c r="C142" s="2" t="s">
        <v>239</v>
      </c>
      <c r="D142" s="2" t="s">
        <v>23</v>
      </c>
      <c r="E142" s="2" t="s">
        <v>32</v>
      </c>
      <c r="F142" s="2" t="s">
        <v>33</v>
      </c>
      <c r="G142" s="2">
        <v>1.0</v>
      </c>
      <c r="H142" s="2">
        <v>34.18</v>
      </c>
      <c r="I142" s="2">
        <v>0.05</v>
      </c>
      <c r="J142" s="2">
        <v>32.47</v>
      </c>
      <c r="K142" s="2">
        <v>11.6</v>
      </c>
    </row>
    <row r="143" ht="15.75" customHeight="1">
      <c r="A143" s="2" t="s">
        <v>240</v>
      </c>
      <c r="B143" s="3">
        <v>45806.0</v>
      </c>
      <c r="C143" s="2" t="s">
        <v>179</v>
      </c>
      <c r="D143" s="2" t="s">
        <v>19</v>
      </c>
      <c r="E143" s="2" t="s">
        <v>72</v>
      </c>
      <c r="F143" s="2" t="s">
        <v>73</v>
      </c>
      <c r="G143" s="2">
        <v>7.0</v>
      </c>
      <c r="H143" s="2">
        <v>69.38</v>
      </c>
      <c r="I143" s="2">
        <v>0.1</v>
      </c>
      <c r="J143" s="2">
        <v>437.07</v>
      </c>
      <c r="K143" s="2">
        <v>120.73</v>
      </c>
    </row>
    <row r="144" ht="15.75" customHeight="1">
      <c r="A144" s="2" t="s">
        <v>241</v>
      </c>
      <c r="B144" s="3">
        <v>45948.0</v>
      </c>
      <c r="C144" s="2" t="s">
        <v>31</v>
      </c>
      <c r="D144" s="2" t="s">
        <v>19</v>
      </c>
      <c r="E144" s="2" t="s">
        <v>53</v>
      </c>
      <c r="F144" s="2" t="s">
        <v>25</v>
      </c>
      <c r="G144" s="10"/>
      <c r="H144" s="2">
        <v>52.41</v>
      </c>
      <c r="I144" s="2">
        <v>0.1</v>
      </c>
      <c r="J144" s="2">
        <v>47.17</v>
      </c>
      <c r="K144" s="2">
        <v>12.23</v>
      </c>
    </row>
    <row r="145" ht="15.75" customHeight="1">
      <c r="A145" s="2" t="s">
        <v>242</v>
      </c>
      <c r="B145" s="3">
        <v>46004.0</v>
      </c>
      <c r="C145" s="2" t="s">
        <v>243</v>
      </c>
      <c r="D145" s="2" t="s">
        <v>23</v>
      </c>
      <c r="E145" s="4" t="s">
        <v>24</v>
      </c>
      <c r="F145" s="2" t="s">
        <v>25</v>
      </c>
      <c r="G145" s="2">
        <v>3.0</v>
      </c>
      <c r="H145" s="2">
        <v>23.49</v>
      </c>
      <c r="I145" s="2">
        <v>0.05</v>
      </c>
      <c r="J145" s="2">
        <v>66.94</v>
      </c>
      <c r="K145" s="2">
        <v>19.0</v>
      </c>
    </row>
    <row r="146" ht="15.75" customHeight="1">
      <c r="A146" s="2" t="s">
        <v>244</v>
      </c>
      <c r="B146" s="3">
        <v>45837.0</v>
      </c>
      <c r="C146" s="2" t="s">
        <v>75</v>
      </c>
      <c r="D146" s="2" t="s">
        <v>19</v>
      </c>
      <c r="E146" s="2" t="s">
        <v>56</v>
      </c>
      <c r="F146" s="2" t="s">
        <v>25</v>
      </c>
      <c r="G146" s="2">
        <v>3.0</v>
      </c>
      <c r="H146" s="2">
        <v>47.63</v>
      </c>
      <c r="I146" s="2">
        <v>0.0</v>
      </c>
      <c r="J146" s="2">
        <v>142.9</v>
      </c>
      <c r="K146" s="2">
        <v>49.26</v>
      </c>
    </row>
    <row r="147" ht="15.75" customHeight="1">
      <c r="A147" s="2" t="s">
        <v>245</v>
      </c>
      <c r="B147" s="3">
        <v>45813.0</v>
      </c>
      <c r="C147" s="2" t="s">
        <v>177</v>
      </c>
      <c r="D147" s="2" t="s">
        <v>19</v>
      </c>
      <c r="E147" s="2" t="s">
        <v>32</v>
      </c>
      <c r="F147" s="2" t="s">
        <v>33</v>
      </c>
      <c r="G147" s="2">
        <v>1.0</v>
      </c>
      <c r="H147" s="2">
        <v>31.3</v>
      </c>
      <c r="I147" s="2">
        <v>0.05</v>
      </c>
      <c r="J147" s="2">
        <v>29.73</v>
      </c>
      <c r="K147" s="2">
        <v>7.54</v>
      </c>
    </row>
    <row r="148" ht="15.75" customHeight="1">
      <c r="A148" s="2" t="s">
        <v>246</v>
      </c>
      <c r="B148" s="3">
        <v>45999.0</v>
      </c>
      <c r="C148" s="2" t="s">
        <v>28</v>
      </c>
      <c r="D148" s="2" t="s">
        <v>13</v>
      </c>
      <c r="E148" s="2" t="s">
        <v>37</v>
      </c>
      <c r="F148" s="2" t="s">
        <v>25</v>
      </c>
      <c r="G148" s="2">
        <v>7.0</v>
      </c>
      <c r="H148" s="2">
        <v>37.66</v>
      </c>
      <c r="I148" s="2">
        <v>0.05</v>
      </c>
      <c r="J148" s="2">
        <v>250.46</v>
      </c>
      <c r="K148" s="2">
        <v>67.26</v>
      </c>
    </row>
    <row r="149" ht="15.75" customHeight="1">
      <c r="A149" s="2" t="s">
        <v>247</v>
      </c>
      <c r="B149" s="3">
        <v>45872.0</v>
      </c>
      <c r="C149" s="2" t="s">
        <v>104</v>
      </c>
      <c r="D149" s="2" t="s">
        <v>13</v>
      </c>
      <c r="E149" s="2" t="s">
        <v>53</v>
      </c>
      <c r="F149" s="2" t="s">
        <v>25</v>
      </c>
      <c r="G149" s="2">
        <v>8.0</v>
      </c>
      <c r="H149" s="2">
        <v>55.02</v>
      </c>
      <c r="I149" s="2">
        <v>0.05</v>
      </c>
      <c r="J149" s="2">
        <v>418.15</v>
      </c>
      <c r="K149" s="2">
        <v>153.29</v>
      </c>
    </row>
    <row r="150" ht="15.75" customHeight="1">
      <c r="A150" s="2" t="s">
        <v>248</v>
      </c>
      <c r="B150" s="3">
        <v>45943.0</v>
      </c>
      <c r="C150" s="2" t="s">
        <v>87</v>
      </c>
      <c r="D150" s="2" t="s">
        <v>23</v>
      </c>
      <c r="E150" s="2" t="s">
        <v>32</v>
      </c>
      <c r="F150" s="2" t="s">
        <v>33</v>
      </c>
      <c r="G150" s="2">
        <v>3.0</v>
      </c>
      <c r="H150" s="2">
        <v>31.23</v>
      </c>
      <c r="I150" s="2">
        <v>0.05</v>
      </c>
      <c r="J150" s="2">
        <v>89.0</v>
      </c>
      <c r="K150" s="2">
        <v>22.7</v>
      </c>
    </row>
    <row r="151" ht="15.75" customHeight="1">
      <c r="A151" s="2" t="s">
        <v>249</v>
      </c>
      <c r="B151" s="3">
        <v>45770.0</v>
      </c>
      <c r="C151" s="2" t="s">
        <v>177</v>
      </c>
      <c r="D151" s="2" t="s">
        <v>48</v>
      </c>
      <c r="E151" s="2" t="s">
        <v>56</v>
      </c>
      <c r="F151" s="2" t="s">
        <v>25</v>
      </c>
      <c r="G151" s="2">
        <v>2.0</v>
      </c>
      <c r="H151" s="2">
        <v>46.42</v>
      </c>
      <c r="I151" s="2">
        <v>0.1</v>
      </c>
      <c r="J151" s="2">
        <v>83.55</v>
      </c>
      <c r="K151" s="2">
        <v>22.93</v>
      </c>
    </row>
    <row r="152" ht="15.75" customHeight="1">
      <c r="A152" s="2" t="s">
        <v>250</v>
      </c>
      <c r="B152" s="3">
        <v>46016.0</v>
      </c>
      <c r="C152" s="2" t="s">
        <v>110</v>
      </c>
      <c r="D152" s="2" t="s">
        <v>23</v>
      </c>
      <c r="E152" s="2" t="s">
        <v>72</v>
      </c>
      <c r="F152" s="2" t="s">
        <v>73</v>
      </c>
      <c r="G152" s="2">
        <v>3.0</v>
      </c>
      <c r="H152" s="2">
        <v>61.41</v>
      </c>
      <c r="I152" s="2">
        <v>0.0</v>
      </c>
      <c r="J152" s="2">
        <v>184.24</v>
      </c>
      <c r="K152" s="2">
        <v>38.26</v>
      </c>
    </row>
    <row r="153" ht="15.75" customHeight="1">
      <c r="A153" s="2" t="s">
        <v>251</v>
      </c>
      <c r="B153" s="3">
        <v>45712.0</v>
      </c>
      <c r="C153" s="2" t="s">
        <v>28</v>
      </c>
      <c r="D153" s="2" t="s">
        <v>23</v>
      </c>
      <c r="E153" s="4" t="s">
        <v>24</v>
      </c>
      <c r="F153" s="2" t="s">
        <v>25</v>
      </c>
      <c r="G153" s="2">
        <v>2.0</v>
      </c>
      <c r="H153" s="2">
        <v>23.4</v>
      </c>
      <c r="I153" s="2">
        <v>0.05</v>
      </c>
      <c r="J153" s="2">
        <v>44.46</v>
      </c>
      <c r="K153" s="2">
        <v>9.77</v>
      </c>
    </row>
    <row r="154" ht="15.75" customHeight="1">
      <c r="A154" s="2" t="s">
        <v>252</v>
      </c>
      <c r="B154" s="3">
        <v>45912.0</v>
      </c>
      <c r="C154" s="2" t="s">
        <v>185</v>
      </c>
      <c r="D154" s="2" t="s">
        <v>48</v>
      </c>
      <c r="E154" s="4" t="s">
        <v>24</v>
      </c>
      <c r="F154" s="2" t="s">
        <v>25</v>
      </c>
      <c r="G154" s="2">
        <v>7.0</v>
      </c>
      <c r="H154" s="2">
        <v>22.56</v>
      </c>
      <c r="I154" s="2">
        <v>0.0</v>
      </c>
      <c r="J154" s="2">
        <v>157.92</v>
      </c>
      <c r="K154" s="2">
        <v>53.0</v>
      </c>
    </row>
    <row r="155" ht="15.75" customHeight="1">
      <c r="A155" s="2" t="s">
        <v>253</v>
      </c>
      <c r="B155" s="3">
        <v>45921.0</v>
      </c>
      <c r="C155" s="2" t="s">
        <v>192</v>
      </c>
      <c r="D155" s="2" t="s">
        <v>13</v>
      </c>
      <c r="E155" s="2" t="s">
        <v>37</v>
      </c>
      <c r="F155" s="2" t="s">
        <v>25</v>
      </c>
      <c r="G155" s="2">
        <v>7.0</v>
      </c>
      <c r="H155" s="2">
        <v>35.39</v>
      </c>
      <c r="I155" s="2">
        <v>0.1</v>
      </c>
      <c r="J155" s="2">
        <v>222.95</v>
      </c>
      <c r="K155" s="2">
        <v>59.9</v>
      </c>
    </row>
    <row r="156" ht="15.75" customHeight="1">
      <c r="A156" s="2" t="s">
        <v>254</v>
      </c>
      <c r="B156" s="3">
        <v>45822.0</v>
      </c>
      <c r="C156" s="2" t="s">
        <v>100</v>
      </c>
      <c r="D156" s="2" t="s">
        <v>19</v>
      </c>
      <c r="E156" s="2" t="s">
        <v>32</v>
      </c>
      <c r="F156" s="2" t="s">
        <v>33</v>
      </c>
      <c r="G156" s="2">
        <v>8.0</v>
      </c>
      <c r="H156" s="2">
        <v>33.14</v>
      </c>
      <c r="I156" s="2">
        <v>0.1</v>
      </c>
      <c r="J156" s="2">
        <v>238.59</v>
      </c>
      <c r="K156" s="2">
        <v>51.05</v>
      </c>
    </row>
    <row r="157" ht="15.75" customHeight="1">
      <c r="A157" s="2" t="s">
        <v>255</v>
      </c>
      <c r="B157" s="3">
        <v>45818.0</v>
      </c>
      <c r="C157" s="2" t="s">
        <v>234</v>
      </c>
      <c r="D157" s="2" t="s">
        <v>19</v>
      </c>
      <c r="E157" s="2" t="s">
        <v>72</v>
      </c>
      <c r="F157" s="2" t="s">
        <v>73</v>
      </c>
      <c r="G157" s="2">
        <v>7.0</v>
      </c>
      <c r="H157" s="2">
        <v>63.17</v>
      </c>
      <c r="I157" s="2">
        <v>0.0</v>
      </c>
      <c r="J157" s="2">
        <v>442.19</v>
      </c>
      <c r="K157" s="2">
        <v>112.03</v>
      </c>
    </row>
    <row r="158" ht="15.75" customHeight="1">
      <c r="A158" s="2" t="s">
        <v>256</v>
      </c>
      <c r="B158" s="3">
        <v>45659.0</v>
      </c>
      <c r="C158" s="2" t="s">
        <v>61</v>
      </c>
      <c r="D158" s="2" t="s">
        <v>13</v>
      </c>
      <c r="E158" s="2" t="s">
        <v>56</v>
      </c>
      <c r="F158" s="2" t="s">
        <v>25</v>
      </c>
      <c r="G158" s="2">
        <v>8.0</v>
      </c>
      <c r="H158" s="2">
        <v>45.55</v>
      </c>
      <c r="I158" s="2">
        <v>0.05</v>
      </c>
      <c r="J158" s="2">
        <v>346.21</v>
      </c>
      <c r="K158" s="2">
        <v>102.38</v>
      </c>
    </row>
    <row r="159" ht="15.75" customHeight="1">
      <c r="A159" s="2" t="s">
        <v>257</v>
      </c>
      <c r="B159" s="3">
        <v>45776.0</v>
      </c>
      <c r="C159" s="2" t="s">
        <v>79</v>
      </c>
      <c r="D159" s="2" t="s">
        <v>23</v>
      </c>
      <c r="E159" s="2" t="s">
        <v>53</v>
      </c>
      <c r="F159" s="2" t="s">
        <v>25</v>
      </c>
      <c r="G159" s="2">
        <v>4.0</v>
      </c>
      <c r="H159" s="2">
        <v>53.56</v>
      </c>
      <c r="I159" s="2">
        <v>0.1</v>
      </c>
      <c r="J159" s="2">
        <v>192.8</v>
      </c>
      <c r="K159" s="2">
        <v>59.26</v>
      </c>
    </row>
    <row r="160" ht="15.75" customHeight="1">
      <c r="A160" s="2" t="s">
        <v>258</v>
      </c>
      <c r="B160" s="3">
        <v>46012.0</v>
      </c>
      <c r="C160" s="2" t="s">
        <v>31</v>
      </c>
      <c r="D160" s="2" t="s">
        <v>48</v>
      </c>
      <c r="E160" s="2" t="s">
        <v>53</v>
      </c>
      <c r="F160" s="2" t="s">
        <v>25</v>
      </c>
      <c r="G160" s="2">
        <v>5.0</v>
      </c>
      <c r="H160" s="2">
        <v>54.2</v>
      </c>
      <c r="I160" s="2">
        <v>0.05</v>
      </c>
      <c r="J160" s="2">
        <v>257.46</v>
      </c>
      <c r="K160" s="2">
        <v>75.38</v>
      </c>
    </row>
    <row r="161" ht="15.75" customHeight="1">
      <c r="A161" s="2" t="s">
        <v>259</v>
      </c>
      <c r="B161" s="3">
        <v>45872.0</v>
      </c>
      <c r="C161" s="2" t="s">
        <v>66</v>
      </c>
      <c r="D161" s="2" t="s">
        <v>19</v>
      </c>
      <c r="E161" s="2" t="s">
        <v>72</v>
      </c>
      <c r="F161" s="2" t="s">
        <v>73</v>
      </c>
      <c r="G161" s="2">
        <v>4.0</v>
      </c>
      <c r="H161" s="2">
        <v>61.26</v>
      </c>
      <c r="I161" s="2">
        <v>0.1</v>
      </c>
      <c r="J161" s="2">
        <v>220.53</v>
      </c>
      <c r="K161" s="2">
        <v>62.3</v>
      </c>
    </row>
    <row r="162" ht="15.75" customHeight="1">
      <c r="A162" s="2" t="s">
        <v>260</v>
      </c>
      <c r="B162" s="3">
        <v>45938.0</v>
      </c>
      <c r="C162" s="2" t="s">
        <v>261</v>
      </c>
      <c r="D162" s="2" t="s">
        <v>19</v>
      </c>
      <c r="E162" s="4" t="s">
        <v>24</v>
      </c>
      <c r="F162" s="2" t="s">
        <v>25</v>
      </c>
      <c r="G162" s="2">
        <v>3.0</v>
      </c>
      <c r="H162" s="2">
        <v>22.04</v>
      </c>
      <c r="I162" s="2">
        <v>0.1</v>
      </c>
      <c r="J162" s="2">
        <v>59.52</v>
      </c>
      <c r="K162" s="2">
        <v>14.3</v>
      </c>
    </row>
    <row r="163" ht="15.75" customHeight="1">
      <c r="A163" s="2" t="s">
        <v>263</v>
      </c>
      <c r="B163" s="3">
        <v>45766.0</v>
      </c>
      <c r="C163" s="2" t="s">
        <v>192</v>
      </c>
      <c r="D163" s="2" t="s">
        <v>13</v>
      </c>
      <c r="E163" s="2" t="s">
        <v>72</v>
      </c>
      <c r="F163" s="2" t="s">
        <v>73</v>
      </c>
      <c r="G163" s="2">
        <v>6.0</v>
      </c>
      <c r="H163" s="2">
        <v>68.48</v>
      </c>
      <c r="I163" s="2">
        <v>0.15</v>
      </c>
      <c r="J163" s="2">
        <v>349.26</v>
      </c>
      <c r="K163" s="2">
        <v>96.0</v>
      </c>
    </row>
    <row r="164" ht="15.75" customHeight="1">
      <c r="A164" s="2" t="s">
        <v>264</v>
      </c>
      <c r="B164" s="3">
        <v>45698.0</v>
      </c>
      <c r="C164" s="2" t="s">
        <v>225</v>
      </c>
      <c r="D164" s="2" t="s">
        <v>48</v>
      </c>
      <c r="E164" s="2" t="s">
        <v>53</v>
      </c>
      <c r="F164" s="2" t="s">
        <v>25</v>
      </c>
      <c r="G164" s="2">
        <v>3.0</v>
      </c>
      <c r="H164" s="2">
        <v>57.84</v>
      </c>
      <c r="I164" s="2">
        <v>0.05</v>
      </c>
      <c r="J164" s="2">
        <v>164.84</v>
      </c>
      <c r="K164" s="2">
        <v>35.77</v>
      </c>
    </row>
    <row r="165" ht="15.75" customHeight="1">
      <c r="A165" s="2" t="s">
        <v>265</v>
      </c>
      <c r="B165" s="3">
        <v>46019.0</v>
      </c>
      <c r="C165" s="2" t="s">
        <v>18</v>
      </c>
      <c r="D165" s="2" t="s">
        <v>19</v>
      </c>
      <c r="E165" s="2" t="s">
        <v>37</v>
      </c>
      <c r="F165" s="2" t="s">
        <v>25</v>
      </c>
      <c r="G165" s="2">
        <v>5.0</v>
      </c>
      <c r="H165" s="2">
        <v>35.85</v>
      </c>
      <c r="I165" s="2">
        <v>0.1</v>
      </c>
      <c r="J165" s="2">
        <v>161.32</v>
      </c>
      <c r="K165" s="2">
        <v>54.64</v>
      </c>
    </row>
    <row r="166" ht="15.75" customHeight="1">
      <c r="A166" s="2" t="s">
        <v>267</v>
      </c>
      <c r="B166" s="3">
        <v>45894.0</v>
      </c>
      <c r="C166" s="2" t="s">
        <v>168</v>
      </c>
      <c r="D166" s="2" t="s">
        <v>19</v>
      </c>
      <c r="E166" s="2" t="s">
        <v>56</v>
      </c>
      <c r="F166" s="2" t="s">
        <v>25</v>
      </c>
      <c r="G166" s="2">
        <v>1.0</v>
      </c>
      <c r="H166" s="2">
        <v>46.21</v>
      </c>
      <c r="I166" s="2">
        <v>0.1</v>
      </c>
      <c r="J166" s="2">
        <v>41.59</v>
      </c>
      <c r="K166" s="2">
        <v>13.72</v>
      </c>
    </row>
    <row r="167" ht="15.75" customHeight="1">
      <c r="A167" s="2" t="s">
        <v>270</v>
      </c>
      <c r="B167" s="15"/>
      <c r="C167" s="2" t="s">
        <v>239</v>
      </c>
      <c r="D167" s="2" t="s">
        <v>23</v>
      </c>
      <c r="E167" s="2" t="s">
        <v>14</v>
      </c>
      <c r="F167" s="2" t="s">
        <v>15</v>
      </c>
      <c r="G167" s="2">
        <v>2.0</v>
      </c>
      <c r="H167" s="2">
        <v>223.92</v>
      </c>
      <c r="I167" s="2">
        <v>0.05</v>
      </c>
      <c r="J167" s="2">
        <v>425.46</v>
      </c>
      <c r="K167" s="2">
        <v>129.07</v>
      </c>
    </row>
    <row r="168" ht="15.75" customHeight="1">
      <c r="A168" s="2" t="s">
        <v>271</v>
      </c>
      <c r="B168" s="3">
        <v>45939.0</v>
      </c>
      <c r="C168" s="2" t="s">
        <v>43</v>
      </c>
      <c r="D168" s="2" t="s">
        <v>19</v>
      </c>
      <c r="E168" s="4" t="s">
        <v>24</v>
      </c>
      <c r="F168" s="2" t="s">
        <v>25</v>
      </c>
      <c r="G168" s="2">
        <v>4.0</v>
      </c>
      <c r="H168" s="2">
        <v>23.61</v>
      </c>
      <c r="I168" s="2">
        <v>0.0</v>
      </c>
      <c r="J168" s="2">
        <v>94.46</v>
      </c>
      <c r="K168" s="2">
        <v>34.19</v>
      </c>
    </row>
    <row r="169" ht="15.75" customHeight="1">
      <c r="A169" s="2" t="s">
        <v>272</v>
      </c>
      <c r="B169" s="3">
        <v>45889.0</v>
      </c>
      <c r="C169" s="2" t="s">
        <v>116</v>
      </c>
      <c r="D169" s="2" t="s">
        <v>48</v>
      </c>
      <c r="E169" s="2" t="s">
        <v>56</v>
      </c>
      <c r="F169" s="2" t="s">
        <v>25</v>
      </c>
      <c r="G169" s="2">
        <v>8.0</v>
      </c>
      <c r="H169" s="2">
        <v>47.52</v>
      </c>
      <c r="I169" s="2">
        <v>0.1</v>
      </c>
      <c r="J169" s="2">
        <v>342.13</v>
      </c>
      <c r="K169" s="2">
        <v>80.64</v>
      </c>
    </row>
    <row r="170" ht="15.75" customHeight="1">
      <c r="A170" s="2" t="s">
        <v>273</v>
      </c>
      <c r="B170" s="3">
        <v>45946.0</v>
      </c>
      <c r="C170" s="2" t="s">
        <v>12</v>
      </c>
      <c r="D170" s="2" t="s">
        <v>23</v>
      </c>
      <c r="E170" s="4" t="s">
        <v>24</v>
      </c>
      <c r="F170" s="2" t="s">
        <v>25</v>
      </c>
      <c r="G170" s="2">
        <v>7.0</v>
      </c>
      <c r="H170" s="2">
        <v>22.58</v>
      </c>
      <c r="I170" s="2">
        <v>0.15</v>
      </c>
      <c r="J170" s="2">
        <v>134.33</v>
      </c>
      <c r="K170" s="2">
        <v>31.36</v>
      </c>
    </row>
    <row r="171" ht="15.75" customHeight="1">
      <c r="A171" s="2" t="s">
        <v>274</v>
      </c>
      <c r="B171" s="3">
        <v>46022.0</v>
      </c>
      <c r="C171" s="2" t="s">
        <v>142</v>
      </c>
      <c r="D171" s="2" t="s">
        <v>48</v>
      </c>
      <c r="E171" s="2" t="s">
        <v>14</v>
      </c>
      <c r="F171" s="2" t="s">
        <v>15</v>
      </c>
      <c r="G171" s="2">
        <v>4.0</v>
      </c>
      <c r="H171" s="2">
        <v>198.64</v>
      </c>
      <c r="I171" s="2">
        <v>0.1</v>
      </c>
      <c r="J171" s="2">
        <v>715.12</v>
      </c>
      <c r="K171" s="2">
        <v>150.69</v>
      </c>
    </row>
    <row r="172" ht="15.75" customHeight="1">
      <c r="A172" s="2" t="s">
        <v>275</v>
      </c>
      <c r="B172" s="3">
        <v>45786.0</v>
      </c>
      <c r="C172" s="2" t="s">
        <v>203</v>
      </c>
      <c r="D172" s="2" t="s">
        <v>19</v>
      </c>
      <c r="E172" s="2" t="s">
        <v>37</v>
      </c>
      <c r="F172" s="2" t="s">
        <v>25</v>
      </c>
      <c r="G172" s="2">
        <v>2.0</v>
      </c>
      <c r="H172" s="2">
        <v>34.86</v>
      </c>
      <c r="I172" s="2">
        <v>0.0</v>
      </c>
      <c r="J172" s="2">
        <v>69.71</v>
      </c>
      <c r="K172" s="2">
        <v>21.59</v>
      </c>
    </row>
    <row r="173" ht="15.75" customHeight="1">
      <c r="A173" s="2" t="s">
        <v>276</v>
      </c>
      <c r="B173" s="3">
        <v>45886.0</v>
      </c>
      <c r="C173" s="2" t="s">
        <v>70</v>
      </c>
      <c r="D173" s="2" t="s">
        <v>23</v>
      </c>
      <c r="E173" s="2" t="s">
        <v>56</v>
      </c>
      <c r="F173" s="2" t="s">
        <v>25</v>
      </c>
      <c r="G173" s="2">
        <v>8.0</v>
      </c>
      <c r="H173" s="2">
        <v>47.5</v>
      </c>
      <c r="I173" s="2">
        <v>0.0</v>
      </c>
      <c r="J173" s="2">
        <v>380.0</v>
      </c>
      <c r="K173" s="2">
        <v>82.15</v>
      </c>
    </row>
    <row r="174" ht="15.75" customHeight="1">
      <c r="A174" s="2" t="s">
        <v>277</v>
      </c>
      <c r="B174" s="3">
        <v>45962.0</v>
      </c>
      <c r="C174" s="2" t="s">
        <v>243</v>
      </c>
      <c r="D174" s="2" t="s">
        <v>48</v>
      </c>
      <c r="E174" s="2" t="s">
        <v>56</v>
      </c>
      <c r="F174" s="2" t="s">
        <v>25</v>
      </c>
      <c r="G174" s="2">
        <v>6.0</v>
      </c>
      <c r="H174" s="2">
        <v>44.2</v>
      </c>
      <c r="I174" s="2">
        <v>0.0</v>
      </c>
      <c r="J174" s="2">
        <v>265.2</v>
      </c>
      <c r="K174" s="2">
        <v>84.09</v>
      </c>
    </row>
    <row r="175" ht="15.75" customHeight="1">
      <c r="A175" s="2" t="s">
        <v>278</v>
      </c>
      <c r="B175" s="3">
        <v>45996.0</v>
      </c>
      <c r="C175" s="2" t="s">
        <v>185</v>
      </c>
      <c r="D175" s="2" t="s">
        <v>13</v>
      </c>
      <c r="E175" s="2" t="s">
        <v>37</v>
      </c>
      <c r="F175" s="2" t="s">
        <v>25</v>
      </c>
      <c r="G175" s="2">
        <v>7.0</v>
      </c>
      <c r="H175" s="2">
        <v>35.12</v>
      </c>
      <c r="I175" s="2">
        <v>0.0</v>
      </c>
      <c r="J175" s="2">
        <v>245.83</v>
      </c>
      <c r="K175" s="2">
        <v>46.31</v>
      </c>
    </row>
    <row r="176" ht="15.75" customHeight="1">
      <c r="A176" s="2" t="s">
        <v>279</v>
      </c>
      <c r="B176" s="3">
        <v>45682.0</v>
      </c>
      <c r="C176" s="2" t="s">
        <v>150</v>
      </c>
      <c r="D176" s="2" t="s">
        <v>19</v>
      </c>
      <c r="E176" s="2" t="s">
        <v>53</v>
      </c>
      <c r="F176" s="2" t="s">
        <v>25</v>
      </c>
      <c r="G176" s="2">
        <v>1.0</v>
      </c>
      <c r="H176" s="2">
        <v>56.4</v>
      </c>
      <c r="I176" s="2">
        <v>0.05</v>
      </c>
      <c r="J176" s="2">
        <v>53.58</v>
      </c>
      <c r="K176" s="2">
        <v>11.26</v>
      </c>
    </row>
    <row r="177" ht="15.75" customHeight="1">
      <c r="A177" s="2" t="s">
        <v>280</v>
      </c>
      <c r="B177" s="3">
        <v>45945.0</v>
      </c>
      <c r="C177" s="2" t="s">
        <v>137</v>
      </c>
      <c r="D177" s="2" t="s">
        <v>23</v>
      </c>
      <c r="E177" s="2" t="s">
        <v>39</v>
      </c>
      <c r="F177" s="2" t="s">
        <v>25</v>
      </c>
      <c r="G177" s="2">
        <v>7.0</v>
      </c>
      <c r="H177" s="2">
        <v>40.21</v>
      </c>
      <c r="I177" s="2">
        <v>0.0</v>
      </c>
      <c r="J177" s="2">
        <v>281.44</v>
      </c>
      <c r="K177" s="2">
        <v>69.24</v>
      </c>
    </row>
    <row r="178" ht="15.75" customHeight="1">
      <c r="A178" s="2" t="s">
        <v>281</v>
      </c>
      <c r="B178" s="3">
        <v>45927.0</v>
      </c>
      <c r="C178" s="2" t="s">
        <v>77</v>
      </c>
      <c r="D178" s="2" t="s">
        <v>19</v>
      </c>
      <c r="E178" s="2" t="s">
        <v>14</v>
      </c>
      <c r="F178" s="2" t="s">
        <v>15</v>
      </c>
      <c r="G178" s="2">
        <v>1.0</v>
      </c>
      <c r="H178" s="2">
        <v>199.27</v>
      </c>
      <c r="I178" s="2">
        <v>0.05</v>
      </c>
      <c r="J178" s="2">
        <v>189.3</v>
      </c>
      <c r="K178" s="2">
        <v>37.27</v>
      </c>
    </row>
    <row r="179" ht="15.75" customHeight="1">
      <c r="A179" s="2" t="s">
        <v>282</v>
      </c>
      <c r="B179" s="3">
        <v>45739.0</v>
      </c>
      <c r="C179" s="2" t="s">
        <v>94</v>
      </c>
      <c r="D179" s="2" t="s">
        <v>48</v>
      </c>
      <c r="E179" s="2" t="s">
        <v>14</v>
      </c>
      <c r="F179" s="2" t="s">
        <v>15</v>
      </c>
      <c r="G179" s="2">
        <v>1.0</v>
      </c>
      <c r="H179" s="2">
        <v>199.67</v>
      </c>
      <c r="I179" s="2">
        <v>0.0</v>
      </c>
      <c r="J179" s="2">
        <v>199.67</v>
      </c>
      <c r="K179" s="2">
        <v>59.03</v>
      </c>
    </row>
    <row r="180" ht="18.75" customHeight="1">
      <c r="A180" s="2" t="s">
        <v>283</v>
      </c>
      <c r="B180" s="3">
        <v>45671.0</v>
      </c>
      <c r="C180" s="2" t="s">
        <v>94</v>
      </c>
      <c r="D180" s="2" t="s">
        <v>23</v>
      </c>
      <c r="E180" s="2" t="s">
        <v>39</v>
      </c>
      <c r="F180" s="2" t="s">
        <v>25</v>
      </c>
      <c r="G180" s="2">
        <v>7.0</v>
      </c>
      <c r="H180" s="2">
        <v>38.72</v>
      </c>
      <c r="I180" s="2">
        <v>0.05</v>
      </c>
      <c r="J180" s="2">
        <v>257.49</v>
      </c>
      <c r="K180" s="2">
        <v>64.65</v>
      </c>
    </row>
    <row r="181" ht="20.2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1000">
    <cfRule type="expression" dxfId="0" priority="1">
      <formula>COUNTIF($A$2:$A1000,A2)&gt;1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1.14"/>
    <col customWidth="1" min="3" max="3" width="17.14"/>
    <col customWidth="1" min="4" max="4" width="12.86"/>
    <col customWidth="1" min="5" max="5" width="18.0"/>
    <col customWidth="1" min="6" max="6" width="17.0"/>
    <col customWidth="1" min="7" max="7" width="14.57"/>
    <col customWidth="1" min="8" max="8" width="14.0"/>
    <col customWidth="1" min="9" max="9" width="15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45760.0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4.0</v>
      </c>
      <c r="H2" s="2">
        <v>225.14</v>
      </c>
      <c r="I2" s="2">
        <v>0.1</v>
      </c>
      <c r="J2" s="2">
        <v>810.52</v>
      </c>
      <c r="K2" s="2">
        <v>210.95</v>
      </c>
    </row>
    <row r="3">
      <c r="A3" s="2" t="s">
        <v>17</v>
      </c>
      <c r="B3" s="3">
        <v>45788.0</v>
      </c>
      <c r="C3" s="2" t="s">
        <v>18</v>
      </c>
      <c r="D3" s="2" t="s">
        <v>19</v>
      </c>
      <c r="E3" s="2" t="s">
        <v>14</v>
      </c>
      <c r="F3" s="2" t="s">
        <v>15</v>
      </c>
      <c r="G3" s="2">
        <v>3.0</v>
      </c>
      <c r="H3" s="2">
        <v>208.63</v>
      </c>
      <c r="I3" s="2">
        <v>0.0</v>
      </c>
      <c r="J3" s="2">
        <v>625.89</v>
      </c>
      <c r="K3" s="2">
        <v>219.96</v>
      </c>
    </row>
    <row r="4">
      <c r="A4" s="2" t="s">
        <v>21</v>
      </c>
      <c r="B4" s="3">
        <v>45934.0</v>
      </c>
      <c r="C4" s="2" t="s">
        <v>22</v>
      </c>
      <c r="D4" s="2" t="s">
        <v>23</v>
      </c>
      <c r="E4" s="4" t="s">
        <v>24</v>
      </c>
      <c r="F4" s="2" t="s">
        <v>25</v>
      </c>
      <c r="G4" s="2">
        <v>8.0</v>
      </c>
      <c r="H4" s="2">
        <v>23.17</v>
      </c>
      <c r="I4" s="2">
        <v>0.0</v>
      </c>
      <c r="J4" s="2">
        <v>185.36</v>
      </c>
      <c r="K4" s="2">
        <v>63.7</v>
      </c>
    </row>
    <row r="5">
      <c r="A5" s="2" t="s">
        <v>27</v>
      </c>
      <c r="B5" s="3">
        <v>45827.0</v>
      </c>
      <c r="C5" s="2" t="s">
        <v>28</v>
      </c>
      <c r="D5" s="2" t="s">
        <v>23</v>
      </c>
      <c r="E5" s="4" t="s">
        <v>24</v>
      </c>
      <c r="F5" s="2" t="s">
        <v>25</v>
      </c>
      <c r="G5" s="2">
        <v>6.0</v>
      </c>
      <c r="H5" s="2">
        <v>20.26</v>
      </c>
      <c r="I5" s="2">
        <v>0.0</v>
      </c>
      <c r="J5" s="2">
        <v>121.59</v>
      </c>
      <c r="K5" s="2">
        <v>33.44</v>
      </c>
    </row>
    <row r="6">
      <c r="A6" s="2" t="s">
        <v>30</v>
      </c>
      <c r="B6" s="3">
        <v>45712.0</v>
      </c>
      <c r="C6" s="2" t="s">
        <v>31</v>
      </c>
      <c r="D6" s="2" t="s">
        <v>23</v>
      </c>
      <c r="E6" s="2" t="s">
        <v>32</v>
      </c>
      <c r="F6" s="2" t="s">
        <v>33</v>
      </c>
      <c r="G6" s="2">
        <v>7.0</v>
      </c>
      <c r="H6" s="2">
        <v>31.78</v>
      </c>
      <c r="I6" s="2">
        <v>0.1</v>
      </c>
      <c r="J6" s="2">
        <v>200.18</v>
      </c>
      <c r="K6" s="2">
        <v>68.08</v>
      </c>
    </row>
    <row r="7">
      <c r="A7" s="2" t="s">
        <v>35</v>
      </c>
      <c r="B7" s="3">
        <v>45931.0</v>
      </c>
      <c r="C7" s="2" t="s">
        <v>36</v>
      </c>
      <c r="D7" s="2" t="s">
        <v>19</v>
      </c>
      <c r="E7" s="2" t="s">
        <v>37</v>
      </c>
      <c r="F7" s="2" t="s">
        <v>25</v>
      </c>
      <c r="G7" s="2">
        <v>3.0</v>
      </c>
      <c r="H7" s="2">
        <v>37.02</v>
      </c>
      <c r="I7" s="2">
        <v>0.05</v>
      </c>
      <c r="J7" s="2">
        <v>105.49</v>
      </c>
      <c r="K7" s="2">
        <v>30.58</v>
      </c>
    </row>
    <row r="8">
      <c r="A8" s="2" t="s">
        <v>38</v>
      </c>
      <c r="B8" s="3">
        <v>45997.0</v>
      </c>
      <c r="C8" s="2" t="s">
        <v>28</v>
      </c>
      <c r="D8" s="2" t="s">
        <v>13</v>
      </c>
      <c r="E8" s="2" t="s">
        <v>39</v>
      </c>
      <c r="F8" s="2" t="s">
        <v>25</v>
      </c>
      <c r="G8" s="2">
        <v>6.0</v>
      </c>
      <c r="H8" s="2">
        <v>40.92</v>
      </c>
      <c r="I8" s="2">
        <v>0.0</v>
      </c>
      <c r="J8" s="2">
        <v>245.55</v>
      </c>
      <c r="K8" s="2">
        <v>88.51</v>
      </c>
      <c r="M8" s="4" t="s">
        <v>50</v>
      </c>
    </row>
    <row r="9">
      <c r="A9" s="2" t="s">
        <v>40</v>
      </c>
      <c r="B9" s="3">
        <v>45738.0</v>
      </c>
      <c r="C9" s="2" t="s">
        <v>41</v>
      </c>
      <c r="D9" s="4" t="s">
        <v>19</v>
      </c>
      <c r="E9" s="2" t="s">
        <v>39</v>
      </c>
      <c r="F9" s="2" t="s">
        <v>25</v>
      </c>
      <c r="G9" s="2">
        <v>7.0</v>
      </c>
      <c r="H9" s="2">
        <v>39.69</v>
      </c>
      <c r="I9" s="2">
        <v>0.1</v>
      </c>
      <c r="J9" s="2">
        <v>250.02</v>
      </c>
      <c r="K9" s="2">
        <v>86.34</v>
      </c>
      <c r="M9" s="4" t="s">
        <v>57</v>
      </c>
    </row>
    <row r="10">
      <c r="A10" s="2" t="s">
        <v>42</v>
      </c>
      <c r="B10" s="3">
        <v>45967.0</v>
      </c>
      <c r="C10" s="2" t="s">
        <v>43</v>
      </c>
      <c r="D10" s="2" t="s">
        <v>13</v>
      </c>
      <c r="E10" s="2" t="s">
        <v>32</v>
      </c>
      <c r="F10" s="2" t="s">
        <v>33</v>
      </c>
      <c r="G10" s="2">
        <v>4.0</v>
      </c>
      <c r="H10" s="2">
        <v>31.04</v>
      </c>
      <c r="I10" s="2">
        <v>0.05</v>
      </c>
      <c r="J10" s="2">
        <v>117.94</v>
      </c>
      <c r="K10" s="2">
        <v>31.92</v>
      </c>
      <c r="M10" s="4" t="s">
        <v>63</v>
      </c>
    </row>
    <row r="11">
      <c r="A11" s="2" t="s">
        <v>44</v>
      </c>
      <c r="B11" s="3">
        <v>46008.0</v>
      </c>
      <c r="C11" s="2" t="s">
        <v>45</v>
      </c>
      <c r="D11" s="2" t="s">
        <v>13</v>
      </c>
      <c r="E11" s="4" t="s">
        <v>24</v>
      </c>
      <c r="F11" s="2" t="s">
        <v>25</v>
      </c>
      <c r="G11" s="2">
        <v>2.0</v>
      </c>
      <c r="H11" s="2">
        <v>21.82</v>
      </c>
      <c r="I11" s="2">
        <v>0.05</v>
      </c>
      <c r="J11" s="2">
        <v>41.46</v>
      </c>
      <c r="K11" s="2">
        <v>8.07</v>
      </c>
    </row>
    <row r="12">
      <c r="A12" s="2" t="s">
        <v>46</v>
      </c>
      <c r="B12" s="3">
        <v>45865.0</v>
      </c>
      <c r="C12" s="2" t="s">
        <v>47</v>
      </c>
      <c r="D12" s="2" t="s">
        <v>48</v>
      </c>
      <c r="E12" s="2" t="s">
        <v>32</v>
      </c>
      <c r="F12" s="2" t="s">
        <v>33</v>
      </c>
      <c r="G12" s="2">
        <v>6.0</v>
      </c>
      <c r="H12" s="2">
        <v>30.44</v>
      </c>
      <c r="I12" s="2">
        <v>0.0</v>
      </c>
      <c r="J12" s="2">
        <v>182.66</v>
      </c>
      <c r="K12" s="2">
        <v>57.53</v>
      </c>
    </row>
    <row r="13">
      <c r="A13" s="2" t="s">
        <v>49</v>
      </c>
      <c r="B13" s="3">
        <v>45698.0</v>
      </c>
      <c r="C13" s="2" t="s">
        <v>43</v>
      </c>
      <c r="D13" s="2" t="s">
        <v>13</v>
      </c>
      <c r="E13" s="2" t="s">
        <v>14</v>
      </c>
      <c r="F13" s="2" t="s">
        <v>15</v>
      </c>
      <c r="G13" s="2">
        <v>5.0</v>
      </c>
      <c r="H13" s="2">
        <v>212.91</v>
      </c>
      <c r="I13" s="2">
        <v>0.15</v>
      </c>
      <c r="J13" s="2">
        <v>904.89</v>
      </c>
      <c r="K13" s="2">
        <v>234.0</v>
      </c>
    </row>
    <row r="14">
      <c r="A14" s="2" t="s">
        <v>51</v>
      </c>
      <c r="B14" s="3">
        <v>45793.0</v>
      </c>
      <c r="C14" s="2" t="s">
        <v>52</v>
      </c>
      <c r="D14" s="2" t="s">
        <v>13</v>
      </c>
      <c r="E14" s="2" t="s">
        <v>53</v>
      </c>
      <c r="F14" s="2" t="s">
        <v>25</v>
      </c>
      <c r="G14" s="2">
        <v>1.0</v>
      </c>
      <c r="H14" s="2">
        <v>50.74</v>
      </c>
      <c r="I14" s="2">
        <v>0.05</v>
      </c>
      <c r="J14" s="2">
        <v>48.2</v>
      </c>
      <c r="K14" s="2">
        <v>14.51</v>
      </c>
      <c r="M14" s="4" t="s">
        <v>90</v>
      </c>
    </row>
    <row r="15">
      <c r="A15" s="2" t="s">
        <v>54</v>
      </c>
      <c r="B15" s="3">
        <v>45918.0</v>
      </c>
      <c r="C15" s="2" t="s">
        <v>55</v>
      </c>
      <c r="D15" s="2" t="s">
        <v>13</v>
      </c>
      <c r="E15" s="2" t="s">
        <v>56</v>
      </c>
      <c r="F15" s="2" t="s">
        <v>25</v>
      </c>
      <c r="G15" s="2">
        <v>3.0</v>
      </c>
      <c r="H15" s="2">
        <v>49.59</v>
      </c>
      <c r="I15" s="2">
        <v>0.1</v>
      </c>
      <c r="J15" s="2">
        <v>133.89</v>
      </c>
      <c r="K15" s="2">
        <v>30.22</v>
      </c>
      <c r="M15" s="2">
        <f>SUM(J2:J178)</f>
        <v>49437.38</v>
      </c>
    </row>
    <row r="16">
      <c r="A16" s="2" t="s">
        <v>58</v>
      </c>
      <c r="B16" s="3">
        <v>45690.0</v>
      </c>
      <c r="C16" s="2" t="s">
        <v>45</v>
      </c>
      <c r="D16" s="2" t="s">
        <v>13</v>
      </c>
      <c r="E16" s="4" t="s">
        <v>24</v>
      </c>
      <c r="F16" s="2" t="s">
        <v>25</v>
      </c>
      <c r="G16" s="2">
        <v>1.0</v>
      </c>
      <c r="H16" s="2">
        <v>23.46</v>
      </c>
      <c r="I16" s="2">
        <v>0.1</v>
      </c>
      <c r="J16" s="2">
        <v>21.11</v>
      </c>
      <c r="K16" s="2">
        <v>6.13</v>
      </c>
    </row>
    <row r="17">
      <c r="A17" s="2" t="s">
        <v>59</v>
      </c>
      <c r="B17" s="3">
        <v>45692.0</v>
      </c>
      <c r="C17" s="2" t="s">
        <v>61</v>
      </c>
      <c r="D17" s="2" t="s">
        <v>13</v>
      </c>
      <c r="E17" s="2" t="s">
        <v>14</v>
      </c>
      <c r="F17" s="2" t="s">
        <v>15</v>
      </c>
      <c r="G17" s="2">
        <v>6.0</v>
      </c>
      <c r="H17" s="2">
        <v>204.13</v>
      </c>
      <c r="I17" s="2">
        <v>0.1</v>
      </c>
      <c r="J17" s="2">
        <v>1102.28</v>
      </c>
      <c r="K17" s="2">
        <v>278.31</v>
      </c>
      <c r="M17" s="4" t="s">
        <v>112</v>
      </c>
    </row>
    <row r="18">
      <c r="A18" s="2" t="s">
        <v>62</v>
      </c>
      <c r="B18" s="3">
        <v>45912.0</v>
      </c>
      <c r="C18" s="2" t="s">
        <v>64</v>
      </c>
      <c r="D18" s="2" t="s">
        <v>13</v>
      </c>
      <c r="E18" s="2" t="s">
        <v>53</v>
      </c>
      <c r="F18" s="2" t="s">
        <v>25</v>
      </c>
      <c r="G18" s="2">
        <v>7.0</v>
      </c>
      <c r="H18" s="2">
        <v>56.88</v>
      </c>
      <c r="I18" s="2">
        <v>0.1</v>
      </c>
      <c r="J18" s="2">
        <v>358.32</v>
      </c>
      <c r="K18" s="2">
        <v>95.94</v>
      </c>
      <c r="M18" s="2">
        <f>SUM(K2:K178)</f>
        <v>13119.5</v>
      </c>
    </row>
    <row r="19">
      <c r="A19" s="2" t="s">
        <v>65</v>
      </c>
      <c r="B19" s="3">
        <v>45836.0</v>
      </c>
      <c r="C19" s="2" t="s">
        <v>66</v>
      </c>
      <c r="D19" s="2" t="s">
        <v>13</v>
      </c>
      <c r="E19" s="2" t="s">
        <v>56</v>
      </c>
      <c r="F19" s="2" t="s">
        <v>25</v>
      </c>
      <c r="G19" s="2">
        <v>1.0</v>
      </c>
      <c r="H19" s="2">
        <v>49.62</v>
      </c>
      <c r="I19" s="2">
        <v>0.0</v>
      </c>
      <c r="J19" s="2">
        <v>49.62</v>
      </c>
      <c r="K19" s="2">
        <v>14.5</v>
      </c>
    </row>
    <row r="20">
      <c r="A20" s="2" t="s">
        <v>67</v>
      </c>
      <c r="B20" s="3">
        <v>45888.0</v>
      </c>
      <c r="C20" s="2" t="s">
        <v>47</v>
      </c>
      <c r="D20" s="2" t="s">
        <v>13</v>
      </c>
      <c r="E20" s="2" t="s">
        <v>37</v>
      </c>
      <c r="F20" s="2" t="s">
        <v>25</v>
      </c>
      <c r="G20" s="2">
        <v>4.0</v>
      </c>
      <c r="H20" s="2">
        <v>35.35</v>
      </c>
      <c r="I20" s="2">
        <v>0.05</v>
      </c>
      <c r="J20" s="2">
        <v>134.35</v>
      </c>
      <c r="K20" s="2">
        <v>47.31</v>
      </c>
      <c r="M20" s="4" t="s">
        <v>120</v>
      </c>
    </row>
    <row r="21" ht="15.75" customHeight="1">
      <c r="A21" s="2" t="s">
        <v>68</v>
      </c>
      <c r="B21" s="3">
        <v>45743.0</v>
      </c>
      <c r="C21" s="2" t="s">
        <v>28</v>
      </c>
      <c r="D21" s="2" t="s">
        <v>48</v>
      </c>
      <c r="E21" s="2" t="s">
        <v>56</v>
      </c>
      <c r="F21" s="2" t="s">
        <v>25</v>
      </c>
      <c r="G21" s="2">
        <v>5.0</v>
      </c>
      <c r="H21" s="2">
        <v>45.92</v>
      </c>
      <c r="I21" s="2">
        <v>0.0</v>
      </c>
      <c r="J21" s="2">
        <v>229.59</v>
      </c>
      <c r="K21" s="2">
        <v>73.94</v>
      </c>
      <c r="M21" s="2">
        <f>SUM(G2:G178)</f>
        <v>824</v>
      </c>
    </row>
    <row r="22" ht="15.75" customHeight="1">
      <c r="A22" s="2" t="s">
        <v>69</v>
      </c>
      <c r="B22" s="3">
        <v>45765.0</v>
      </c>
      <c r="C22" s="2" t="s">
        <v>70</v>
      </c>
      <c r="D22" s="2" t="s">
        <v>23</v>
      </c>
      <c r="E22" s="4" t="s">
        <v>24</v>
      </c>
      <c r="F22" s="2" t="s">
        <v>25</v>
      </c>
      <c r="G22" s="2">
        <v>5.0</v>
      </c>
      <c r="H22" s="2">
        <v>21.28</v>
      </c>
      <c r="I22" s="2">
        <v>0.0</v>
      </c>
      <c r="J22" s="2">
        <v>106.4</v>
      </c>
      <c r="K22" s="2">
        <v>30.72</v>
      </c>
    </row>
    <row r="23" ht="15.75" customHeight="1">
      <c r="A23" s="2" t="s">
        <v>71</v>
      </c>
      <c r="B23" s="3">
        <v>45888.0</v>
      </c>
      <c r="C23" s="2" t="s">
        <v>22</v>
      </c>
      <c r="D23" s="2" t="s">
        <v>19</v>
      </c>
      <c r="E23" s="2" t="s">
        <v>72</v>
      </c>
      <c r="F23" s="2" t="s">
        <v>73</v>
      </c>
      <c r="G23" s="2">
        <v>6.0</v>
      </c>
      <c r="H23" s="2">
        <v>65.41</v>
      </c>
      <c r="I23" s="2">
        <v>0.1</v>
      </c>
      <c r="J23" s="2">
        <v>353.21</v>
      </c>
      <c r="K23" s="2">
        <v>70.92</v>
      </c>
      <c r="M23" s="4" t="s">
        <v>129</v>
      </c>
    </row>
    <row r="24" ht="15.75" customHeight="1">
      <c r="A24" s="2" t="s">
        <v>74</v>
      </c>
      <c r="B24" s="3">
        <v>46016.0</v>
      </c>
      <c r="C24" s="2" t="s">
        <v>75</v>
      </c>
      <c r="D24" s="2" t="s">
        <v>23</v>
      </c>
      <c r="E24" s="2" t="s">
        <v>37</v>
      </c>
      <c r="F24" s="2" t="s">
        <v>25</v>
      </c>
      <c r="G24" s="2">
        <v>3.0</v>
      </c>
      <c r="H24" s="2">
        <v>34.59</v>
      </c>
      <c r="I24" s="2">
        <v>0.1</v>
      </c>
      <c r="J24" s="2">
        <v>93.4</v>
      </c>
      <c r="K24" s="2">
        <v>19.41</v>
      </c>
      <c r="M24" s="7">
        <f>AVERAGE(J2:J178)</f>
        <v>279.3072316</v>
      </c>
    </row>
    <row r="25" ht="15.75" customHeight="1">
      <c r="A25" s="2" t="s">
        <v>76</v>
      </c>
      <c r="B25" s="3">
        <v>45809.0</v>
      </c>
      <c r="C25" s="2" t="s">
        <v>77</v>
      </c>
      <c r="D25" s="2" t="s">
        <v>13</v>
      </c>
      <c r="E25" s="2" t="s">
        <v>56</v>
      </c>
      <c r="F25" s="2" t="s">
        <v>25</v>
      </c>
      <c r="G25" s="2">
        <v>1.0</v>
      </c>
      <c r="H25" s="2">
        <v>47.88</v>
      </c>
      <c r="I25" s="2">
        <v>0.05</v>
      </c>
      <c r="J25" s="2">
        <v>45.49</v>
      </c>
      <c r="K25" s="2">
        <v>14.83</v>
      </c>
    </row>
    <row r="26" ht="15.75" customHeight="1">
      <c r="A26" s="2" t="s">
        <v>78</v>
      </c>
      <c r="B26" s="3">
        <v>45709.0</v>
      </c>
      <c r="C26" s="2" t="s">
        <v>79</v>
      </c>
      <c r="D26" s="2" t="s">
        <v>48</v>
      </c>
      <c r="E26" s="2" t="s">
        <v>72</v>
      </c>
      <c r="F26" s="2" t="s">
        <v>73</v>
      </c>
      <c r="G26" s="2">
        <v>8.0</v>
      </c>
      <c r="H26" s="2">
        <v>65.2</v>
      </c>
      <c r="I26" s="2">
        <v>0.1</v>
      </c>
      <c r="J26" s="2">
        <v>469.41</v>
      </c>
      <c r="K26" s="2">
        <v>144.24</v>
      </c>
      <c r="M26" s="4" t="s">
        <v>144</v>
      </c>
    </row>
    <row r="27" ht="15.75" customHeight="1">
      <c r="A27" s="2" t="s">
        <v>80</v>
      </c>
      <c r="B27" s="3">
        <v>45844.0</v>
      </c>
      <c r="C27" s="2" t="s">
        <v>81</v>
      </c>
      <c r="D27" s="2" t="s">
        <v>48</v>
      </c>
      <c r="E27" s="2" t="s">
        <v>14</v>
      </c>
      <c r="F27" s="2" t="s">
        <v>15</v>
      </c>
      <c r="G27" s="2">
        <v>2.0</v>
      </c>
      <c r="H27" s="2">
        <v>217.13</v>
      </c>
      <c r="I27" s="2">
        <v>0.0</v>
      </c>
      <c r="J27" s="2">
        <v>434.26</v>
      </c>
      <c r="K27" s="2">
        <v>78.36</v>
      </c>
      <c r="M27" s="8">
        <f>13119.5/49437.38</f>
        <v>0.2653761182</v>
      </c>
    </row>
    <row r="28" ht="15.75" customHeight="1">
      <c r="A28" s="2" t="s">
        <v>82</v>
      </c>
      <c r="B28" s="3">
        <v>45783.0</v>
      </c>
      <c r="C28" s="2" t="s">
        <v>83</v>
      </c>
      <c r="D28" s="2" t="s">
        <v>19</v>
      </c>
      <c r="E28" s="4" t="s">
        <v>24</v>
      </c>
      <c r="F28" s="2" t="s">
        <v>25</v>
      </c>
      <c r="G28" s="2">
        <v>4.0</v>
      </c>
      <c r="H28" s="2">
        <v>20.42</v>
      </c>
      <c r="I28" s="2">
        <v>0.0</v>
      </c>
      <c r="J28" s="2">
        <v>81.68</v>
      </c>
      <c r="K28" s="2">
        <v>16.2</v>
      </c>
    </row>
    <row r="29" ht="15.75" customHeight="1">
      <c r="A29" s="2" t="s">
        <v>84</v>
      </c>
      <c r="B29" s="3">
        <v>45860.0</v>
      </c>
      <c r="C29" s="2" t="s">
        <v>85</v>
      </c>
      <c r="D29" s="2" t="s">
        <v>13</v>
      </c>
      <c r="E29" s="2" t="s">
        <v>39</v>
      </c>
      <c r="F29" s="2" t="s">
        <v>25</v>
      </c>
      <c r="G29" s="2">
        <v>2.0</v>
      </c>
      <c r="H29" s="2">
        <v>42.03</v>
      </c>
      <c r="I29" s="2">
        <v>0.0</v>
      </c>
      <c r="J29" s="2">
        <v>84.06</v>
      </c>
      <c r="K29" s="2">
        <v>20.64</v>
      </c>
    </row>
    <row r="30" ht="15.75" customHeight="1">
      <c r="A30" s="2" t="s">
        <v>86</v>
      </c>
      <c r="B30" s="3">
        <v>45897.0</v>
      </c>
      <c r="C30" s="2" t="s">
        <v>87</v>
      </c>
      <c r="D30" s="2" t="s">
        <v>19</v>
      </c>
      <c r="E30" s="2" t="s">
        <v>37</v>
      </c>
      <c r="F30" s="2" t="s">
        <v>25</v>
      </c>
      <c r="G30" s="2">
        <v>7.0</v>
      </c>
      <c r="H30" s="2">
        <v>36.7</v>
      </c>
      <c r="I30" s="2">
        <v>0.05</v>
      </c>
      <c r="J30" s="2">
        <v>244.04</v>
      </c>
      <c r="K30" s="2">
        <v>44.74</v>
      </c>
    </row>
    <row r="31" ht="15.75" customHeight="1">
      <c r="A31" s="2" t="s">
        <v>88</v>
      </c>
      <c r="B31" s="3">
        <v>45909.0</v>
      </c>
      <c r="C31" s="2" t="s">
        <v>89</v>
      </c>
      <c r="D31" s="2" t="s">
        <v>23</v>
      </c>
      <c r="E31" s="2" t="s">
        <v>37</v>
      </c>
      <c r="F31" s="2" t="s">
        <v>25</v>
      </c>
      <c r="G31" s="2">
        <v>4.0</v>
      </c>
      <c r="H31" s="2">
        <v>35.05</v>
      </c>
      <c r="I31" s="2">
        <v>0.05</v>
      </c>
      <c r="J31" s="2">
        <v>133.17</v>
      </c>
      <c r="K31" s="2">
        <v>27.74</v>
      </c>
    </row>
    <row r="32" ht="15.75" customHeight="1">
      <c r="A32" s="2" t="s">
        <v>91</v>
      </c>
      <c r="B32" s="3">
        <v>45965.0</v>
      </c>
      <c r="C32" s="2" t="s">
        <v>92</v>
      </c>
      <c r="D32" s="2" t="s">
        <v>19</v>
      </c>
      <c r="E32" s="2" t="s">
        <v>56</v>
      </c>
      <c r="F32" s="2" t="s">
        <v>25</v>
      </c>
      <c r="G32" s="2">
        <v>2.0</v>
      </c>
      <c r="H32" s="2">
        <v>48.09</v>
      </c>
      <c r="I32" s="2">
        <v>0.0</v>
      </c>
      <c r="J32" s="2">
        <v>96.19</v>
      </c>
      <c r="K32" s="2">
        <v>24.14</v>
      </c>
    </row>
    <row r="33" ht="15.75" customHeight="1">
      <c r="A33" s="2" t="s">
        <v>93</v>
      </c>
      <c r="B33" s="3">
        <v>45808.0</v>
      </c>
      <c r="C33" s="2" t="s">
        <v>94</v>
      </c>
      <c r="D33" s="2" t="s">
        <v>48</v>
      </c>
      <c r="E33" s="2" t="s">
        <v>24</v>
      </c>
      <c r="F33" s="2" t="s">
        <v>33</v>
      </c>
      <c r="G33" s="2">
        <v>8.0</v>
      </c>
      <c r="H33" s="2">
        <v>32.09</v>
      </c>
      <c r="I33" s="2">
        <v>0.1</v>
      </c>
      <c r="J33" s="2">
        <v>231.05</v>
      </c>
      <c r="K33" s="2">
        <v>56.58</v>
      </c>
    </row>
    <row r="34" ht="15.75" customHeight="1">
      <c r="A34" s="2" t="s">
        <v>95</v>
      </c>
      <c r="B34" s="3">
        <v>45717.0</v>
      </c>
      <c r="C34" s="2" t="s">
        <v>81</v>
      </c>
      <c r="D34" s="2" t="s">
        <v>48</v>
      </c>
      <c r="E34" s="4" t="s">
        <v>24</v>
      </c>
      <c r="F34" s="2" t="s">
        <v>25</v>
      </c>
      <c r="G34" s="2">
        <v>3.0</v>
      </c>
      <c r="H34" s="2">
        <v>21.04</v>
      </c>
      <c r="I34" s="2">
        <v>0.0</v>
      </c>
      <c r="J34" s="2">
        <v>63.13</v>
      </c>
      <c r="K34" s="2">
        <v>11.59</v>
      </c>
    </row>
    <row r="35" ht="15.75" customHeight="1">
      <c r="A35" s="2" t="s">
        <v>96</v>
      </c>
      <c r="B35" s="3">
        <v>45666.0</v>
      </c>
      <c r="C35" s="2" t="s">
        <v>92</v>
      </c>
      <c r="D35" s="2" t="s">
        <v>13</v>
      </c>
      <c r="E35" s="2" t="s">
        <v>37</v>
      </c>
      <c r="F35" s="2" t="s">
        <v>25</v>
      </c>
      <c r="G35" s="2">
        <v>8.0</v>
      </c>
      <c r="H35" s="2">
        <v>37.61</v>
      </c>
      <c r="I35" s="2">
        <v>0.05</v>
      </c>
      <c r="J35" s="2">
        <v>285.81</v>
      </c>
      <c r="K35" s="2">
        <v>58.15</v>
      </c>
    </row>
    <row r="36" ht="15.75" customHeight="1">
      <c r="A36" s="2" t="s">
        <v>97</v>
      </c>
      <c r="B36" s="3">
        <v>45818.0</v>
      </c>
      <c r="C36" s="2" t="s">
        <v>52</v>
      </c>
      <c r="D36" s="2" t="s">
        <v>23</v>
      </c>
      <c r="E36" s="2" t="s">
        <v>56</v>
      </c>
      <c r="F36" s="2" t="s">
        <v>25</v>
      </c>
      <c r="G36" s="2">
        <v>8.0</v>
      </c>
      <c r="H36" s="2">
        <v>50.66</v>
      </c>
      <c r="I36" s="2">
        <v>0.1</v>
      </c>
      <c r="J36" s="2">
        <v>364.77</v>
      </c>
      <c r="K36" s="2">
        <v>109.1</v>
      </c>
    </row>
    <row r="37" ht="15.75" customHeight="1">
      <c r="A37" s="2" t="s">
        <v>98</v>
      </c>
      <c r="B37" s="3">
        <v>45884.0</v>
      </c>
      <c r="C37" s="2" t="s">
        <v>45</v>
      </c>
      <c r="D37" s="2" t="s">
        <v>48</v>
      </c>
      <c r="E37" s="2" t="s">
        <v>56</v>
      </c>
      <c r="F37" s="2" t="s">
        <v>25</v>
      </c>
      <c r="G37" s="2">
        <v>1.0</v>
      </c>
      <c r="H37" s="2">
        <v>45.4</v>
      </c>
      <c r="I37" s="2">
        <v>0.1</v>
      </c>
      <c r="J37" s="2">
        <v>40.86</v>
      </c>
      <c r="K37" s="2">
        <v>10.57</v>
      </c>
    </row>
    <row r="38" ht="15.75" customHeight="1">
      <c r="A38" s="2" t="s">
        <v>99</v>
      </c>
      <c r="B38" s="3">
        <v>45851.0</v>
      </c>
      <c r="C38" s="2" t="s">
        <v>100</v>
      </c>
      <c r="D38" s="2" t="s">
        <v>13</v>
      </c>
      <c r="E38" s="2" t="s">
        <v>37</v>
      </c>
      <c r="F38" s="2" t="s">
        <v>25</v>
      </c>
      <c r="G38" s="2">
        <v>3.0</v>
      </c>
      <c r="H38" s="2">
        <v>37.65</v>
      </c>
      <c r="I38" s="2">
        <v>0.0</v>
      </c>
      <c r="J38" s="2">
        <v>112.96</v>
      </c>
      <c r="K38" s="2">
        <v>36.03</v>
      </c>
    </row>
    <row r="39" ht="15.75" customHeight="1">
      <c r="A39" s="2" t="s">
        <v>101</v>
      </c>
      <c r="B39" s="3">
        <v>45934.0</v>
      </c>
      <c r="C39" s="2" t="s">
        <v>45</v>
      </c>
      <c r="D39" s="2" t="s">
        <v>23</v>
      </c>
      <c r="E39" s="2" t="s">
        <v>32</v>
      </c>
      <c r="F39" s="2" t="s">
        <v>33</v>
      </c>
      <c r="G39" s="2">
        <v>5.0</v>
      </c>
      <c r="H39" s="2">
        <v>30.59</v>
      </c>
      <c r="I39" s="2">
        <v>0.1</v>
      </c>
      <c r="J39" s="2">
        <v>137.65</v>
      </c>
      <c r="K39" s="2">
        <v>45.77</v>
      </c>
    </row>
    <row r="40" ht="15.75" customHeight="1">
      <c r="A40" s="2" t="s">
        <v>102</v>
      </c>
      <c r="B40" s="3">
        <v>45833.0</v>
      </c>
      <c r="C40" s="2" t="s">
        <v>79</v>
      </c>
      <c r="D40" s="2" t="s">
        <v>13</v>
      </c>
      <c r="E40" s="2" t="s">
        <v>32</v>
      </c>
      <c r="F40" s="2" t="s">
        <v>33</v>
      </c>
      <c r="G40" s="2">
        <v>8.0</v>
      </c>
      <c r="H40" s="2">
        <v>33.25</v>
      </c>
      <c r="I40" s="2">
        <v>0.1</v>
      </c>
      <c r="J40" s="2">
        <v>239.4</v>
      </c>
      <c r="K40" s="2">
        <v>76.22</v>
      </c>
    </row>
    <row r="41" ht="15.75" customHeight="1">
      <c r="A41" s="2" t="s">
        <v>103</v>
      </c>
      <c r="B41" s="3">
        <v>46022.0</v>
      </c>
      <c r="C41" s="2" t="s">
        <v>104</v>
      </c>
      <c r="D41" s="2" t="s">
        <v>48</v>
      </c>
      <c r="E41" s="2" t="s">
        <v>56</v>
      </c>
      <c r="F41" s="2" t="s">
        <v>25</v>
      </c>
      <c r="G41" s="2">
        <v>6.0</v>
      </c>
      <c r="H41" s="2">
        <v>46.2</v>
      </c>
      <c r="I41" s="2">
        <v>0.0</v>
      </c>
      <c r="J41" s="2">
        <v>277.18</v>
      </c>
      <c r="K41" s="2">
        <v>51.39</v>
      </c>
    </row>
    <row r="42" ht="15.75" customHeight="1">
      <c r="A42" s="2" t="s">
        <v>105</v>
      </c>
      <c r="B42" s="3">
        <v>45974.0</v>
      </c>
      <c r="C42" s="2" t="s">
        <v>45</v>
      </c>
      <c r="D42" s="2" t="s">
        <v>13</v>
      </c>
      <c r="E42" s="2" t="s">
        <v>32</v>
      </c>
      <c r="F42" s="2" t="s">
        <v>33</v>
      </c>
      <c r="G42" s="2">
        <v>3.0</v>
      </c>
      <c r="H42" s="2">
        <v>31.66</v>
      </c>
      <c r="I42" s="2">
        <v>0.05</v>
      </c>
      <c r="J42" s="2">
        <v>90.24</v>
      </c>
      <c r="K42" s="2">
        <v>22.65</v>
      </c>
    </row>
    <row r="43" ht="15.75" customHeight="1">
      <c r="A43" s="2" t="s">
        <v>106</v>
      </c>
      <c r="B43" s="3">
        <v>45815.0</v>
      </c>
      <c r="C43" s="2" t="s">
        <v>43</v>
      </c>
      <c r="D43" s="2" t="s">
        <v>48</v>
      </c>
      <c r="E43" s="2" t="s">
        <v>39</v>
      </c>
      <c r="F43" s="2" t="s">
        <v>25</v>
      </c>
      <c r="G43" s="2">
        <v>3.0</v>
      </c>
      <c r="H43" s="2">
        <v>40.68</v>
      </c>
      <c r="I43" s="2">
        <v>0.0</v>
      </c>
      <c r="J43" s="2">
        <v>122.03</v>
      </c>
      <c r="K43" s="2">
        <v>22.1</v>
      </c>
    </row>
    <row r="44" ht="15.75" customHeight="1">
      <c r="A44" s="2" t="s">
        <v>107</v>
      </c>
      <c r="B44" s="3">
        <v>45959.0</v>
      </c>
      <c r="C44" s="2" t="s">
        <v>108</v>
      </c>
      <c r="D44" s="2" t="s">
        <v>13</v>
      </c>
      <c r="E44" s="2" t="s">
        <v>53</v>
      </c>
      <c r="F44" s="2" t="s">
        <v>25</v>
      </c>
      <c r="G44" s="2">
        <v>6.0</v>
      </c>
      <c r="H44" s="2">
        <v>53.86</v>
      </c>
      <c r="I44" s="2">
        <v>0.0</v>
      </c>
      <c r="J44" s="2">
        <v>323.14</v>
      </c>
      <c r="K44" s="2">
        <v>62.8</v>
      </c>
    </row>
    <row r="45" ht="15.75" customHeight="1">
      <c r="A45" s="2" t="s">
        <v>109</v>
      </c>
      <c r="B45" s="3">
        <v>45818.0</v>
      </c>
      <c r="C45" s="2" t="s">
        <v>110</v>
      </c>
      <c r="D45" s="2" t="s">
        <v>23</v>
      </c>
      <c r="E45" s="2" t="s">
        <v>56</v>
      </c>
      <c r="F45" s="2" t="s">
        <v>25</v>
      </c>
      <c r="G45" s="2">
        <v>4.0</v>
      </c>
      <c r="H45" s="2">
        <v>50.71</v>
      </c>
      <c r="I45" s="2">
        <v>0.0</v>
      </c>
      <c r="J45" s="2">
        <v>202.84</v>
      </c>
      <c r="K45" s="2">
        <v>61.46</v>
      </c>
    </row>
    <row r="46" ht="15.75" customHeight="1">
      <c r="A46" s="2" t="s">
        <v>111</v>
      </c>
      <c r="B46" s="3">
        <v>45831.0</v>
      </c>
      <c r="C46" s="2" t="s">
        <v>52</v>
      </c>
      <c r="D46" s="2" t="s">
        <v>48</v>
      </c>
      <c r="E46" s="4" t="s">
        <v>24</v>
      </c>
      <c r="F46" s="2" t="s">
        <v>25</v>
      </c>
      <c r="G46" s="2">
        <v>1.0</v>
      </c>
      <c r="H46" s="2">
        <v>21.63</v>
      </c>
      <c r="I46" s="2">
        <v>0.1</v>
      </c>
      <c r="J46" s="2">
        <v>19.47</v>
      </c>
      <c r="K46" s="2">
        <v>3.78</v>
      </c>
    </row>
    <row r="47" ht="15.75" customHeight="1">
      <c r="A47" s="2" t="s">
        <v>113</v>
      </c>
      <c r="B47" s="3">
        <v>45930.0</v>
      </c>
      <c r="C47" s="2" t="s">
        <v>114</v>
      </c>
      <c r="D47" s="2" t="s">
        <v>19</v>
      </c>
      <c r="E47" s="2" t="s">
        <v>32</v>
      </c>
      <c r="F47" s="2" t="s">
        <v>33</v>
      </c>
      <c r="G47" s="2">
        <v>7.0</v>
      </c>
      <c r="H47" s="2">
        <v>34.51</v>
      </c>
      <c r="I47" s="2">
        <v>0.0</v>
      </c>
      <c r="J47" s="2">
        <v>241.56</v>
      </c>
      <c r="K47" s="2">
        <v>66.75</v>
      </c>
    </row>
    <row r="48" ht="15.75" customHeight="1">
      <c r="A48" s="2" t="s">
        <v>115</v>
      </c>
      <c r="B48" s="3">
        <v>45683.0</v>
      </c>
      <c r="C48" s="2" t="s">
        <v>116</v>
      </c>
      <c r="D48" s="2" t="s">
        <v>48</v>
      </c>
      <c r="E48" s="2" t="s">
        <v>37</v>
      </c>
      <c r="F48" s="2" t="s">
        <v>25</v>
      </c>
      <c r="G48" s="2">
        <v>3.0</v>
      </c>
      <c r="H48" s="2">
        <v>36.17</v>
      </c>
      <c r="I48" s="2">
        <v>0.05</v>
      </c>
      <c r="J48" s="2">
        <v>103.08</v>
      </c>
      <c r="K48" s="2">
        <v>33.06</v>
      </c>
    </row>
    <row r="49" ht="15.75" customHeight="1">
      <c r="A49" s="2" t="s">
        <v>117</v>
      </c>
      <c r="B49" s="3">
        <v>45830.0</v>
      </c>
      <c r="C49" s="2" t="s">
        <v>118</v>
      </c>
      <c r="D49" s="2" t="s">
        <v>19</v>
      </c>
      <c r="E49" s="2" t="s">
        <v>37</v>
      </c>
      <c r="F49" s="2" t="s">
        <v>25</v>
      </c>
      <c r="G49" s="2">
        <v>8.0</v>
      </c>
      <c r="H49" s="2">
        <v>37.31</v>
      </c>
      <c r="I49" s="2">
        <v>0.05</v>
      </c>
      <c r="J49" s="2">
        <v>283.59</v>
      </c>
      <c r="K49" s="2">
        <v>79.32</v>
      </c>
    </row>
    <row r="50" ht="15.75" customHeight="1">
      <c r="A50" s="2" t="s">
        <v>119</v>
      </c>
      <c r="B50" s="3">
        <v>45800.0</v>
      </c>
      <c r="C50" s="2" t="s">
        <v>28</v>
      </c>
      <c r="D50" s="2" t="s">
        <v>48</v>
      </c>
      <c r="E50" s="2" t="s">
        <v>32</v>
      </c>
      <c r="F50" s="2" t="s">
        <v>33</v>
      </c>
      <c r="G50" s="2">
        <v>8.0</v>
      </c>
      <c r="H50" s="2">
        <v>31.47</v>
      </c>
      <c r="I50" s="2">
        <v>0.0</v>
      </c>
      <c r="J50" s="2">
        <v>251.77</v>
      </c>
      <c r="K50" s="2">
        <v>51.03</v>
      </c>
    </row>
    <row r="51" ht="15.75" customHeight="1">
      <c r="A51" s="2" t="s">
        <v>121</v>
      </c>
      <c r="B51" s="3">
        <v>45720.0</v>
      </c>
      <c r="C51" s="2" t="s">
        <v>18</v>
      </c>
      <c r="D51" s="2" t="s">
        <v>48</v>
      </c>
      <c r="E51" s="4" t="s">
        <v>24</v>
      </c>
      <c r="F51" s="2" t="s">
        <v>25</v>
      </c>
      <c r="G51" s="2">
        <v>8.0</v>
      </c>
      <c r="H51" s="2">
        <v>22.28</v>
      </c>
      <c r="I51" s="2">
        <v>0.0</v>
      </c>
      <c r="J51" s="2">
        <v>178.2</v>
      </c>
      <c r="K51" s="2">
        <v>51.12</v>
      </c>
    </row>
    <row r="52" ht="15.75" customHeight="1">
      <c r="A52" s="2" t="s">
        <v>122</v>
      </c>
      <c r="B52" s="3">
        <v>45758.0</v>
      </c>
      <c r="C52" s="2" t="s">
        <v>22</v>
      </c>
      <c r="D52" s="2" t="s">
        <v>23</v>
      </c>
      <c r="E52" s="4" t="s">
        <v>24</v>
      </c>
      <c r="F52" s="2" t="s">
        <v>25</v>
      </c>
      <c r="G52" s="2">
        <v>6.0</v>
      </c>
      <c r="H52" s="2">
        <v>21.12</v>
      </c>
      <c r="I52" s="2">
        <v>0.0</v>
      </c>
      <c r="J52" s="2">
        <v>126.73</v>
      </c>
      <c r="K52" s="2">
        <v>40.47</v>
      </c>
    </row>
    <row r="53" ht="15.75" customHeight="1">
      <c r="A53" s="2" t="s">
        <v>123</v>
      </c>
      <c r="B53" s="3">
        <v>46022.0</v>
      </c>
      <c r="C53" s="2" t="s">
        <v>66</v>
      </c>
      <c r="D53" s="2" t="s">
        <v>23</v>
      </c>
      <c r="E53" s="2" t="s">
        <v>53</v>
      </c>
      <c r="F53" s="2" t="s">
        <v>25</v>
      </c>
      <c r="G53" s="2">
        <v>4.0</v>
      </c>
      <c r="H53" s="2">
        <v>52.5</v>
      </c>
      <c r="I53" s="2">
        <v>0.05</v>
      </c>
      <c r="J53" s="2">
        <v>199.5</v>
      </c>
      <c r="K53" s="2">
        <v>72.4</v>
      </c>
    </row>
    <row r="54" ht="15.75" customHeight="1">
      <c r="A54" s="2" t="s">
        <v>124</v>
      </c>
      <c r="B54" s="3">
        <v>45781.0</v>
      </c>
      <c r="C54" s="2" t="s">
        <v>55</v>
      </c>
      <c r="D54" s="2" t="s">
        <v>48</v>
      </c>
      <c r="E54" s="2" t="s">
        <v>72</v>
      </c>
      <c r="F54" s="2" t="s">
        <v>73</v>
      </c>
      <c r="G54" s="2">
        <v>7.0</v>
      </c>
      <c r="H54" s="2">
        <v>67.07</v>
      </c>
      <c r="I54" s="2">
        <v>0.0</v>
      </c>
      <c r="J54" s="2">
        <v>469.52</v>
      </c>
      <c r="K54" s="2">
        <v>165.95</v>
      </c>
    </row>
    <row r="55" ht="15.75" customHeight="1">
      <c r="A55" s="2" t="s">
        <v>125</v>
      </c>
      <c r="B55" s="3">
        <v>46003.0</v>
      </c>
      <c r="C55" s="2" t="s">
        <v>126</v>
      </c>
      <c r="D55" s="2" t="s">
        <v>48</v>
      </c>
      <c r="E55" s="2" t="s">
        <v>56</v>
      </c>
      <c r="F55" s="2" t="s">
        <v>25</v>
      </c>
      <c r="G55" s="2">
        <v>1.0</v>
      </c>
      <c r="H55" s="2">
        <v>47.22</v>
      </c>
      <c r="I55" s="2">
        <v>0.05</v>
      </c>
      <c r="J55" s="2">
        <v>44.86</v>
      </c>
      <c r="K55" s="2">
        <v>10.37</v>
      </c>
    </row>
    <row r="56" ht="15.75" customHeight="1">
      <c r="A56" s="2" t="s">
        <v>127</v>
      </c>
      <c r="B56" s="3">
        <v>45715.0</v>
      </c>
      <c r="C56" s="2" t="s">
        <v>64</v>
      </c>
      <c r="D56" s="2" t="s">
        <v>19</v>
      </c>
      <c r="E56" s="2" t="s">
        <v>53</v>
      </c>
      <c r="F56" s="2" t="s">
        <v>25</v>
      </c>
      <c r="G56" s="2">
        <v>6.0</v>
      </c>
      <c r="H56" s="2">
        <v>57.96</v>
      </c>
      <c r="I56" s="2">
        <v>0.05</v>
      </c>
      <c r="J56" s="2">
        <v>330.35</v>
      </c>
      <c r="K56" s="2">
        <v>98.51</v>
      </c>
    </row>
    <row r="57" ht="15.75" customHeight="1">
      <c r="A57" s="2" t="s">
        <v>130</v>
      </c>
      <c r="B57" s="3">
        <v>45894.0</v>
      </c>
      <c r="C57" s="2" t="s">
        <v>108</v>
      </c>
      <c r="D57" s="2" t="s">
        <v>19</v>
      </c>
      <c r="E57" s="2" t="s">
        <v>14</v>
      </c>
      <c r="F57" s="2" t="s">
        <v>15</v>
      </c>
      <c r="G57" s="2">
        <v>2.0</v>
      </c>
      <c r="H57" s="2">
        <v>201.26</v>
      </c>
      <c r="I57" s="2">
        <v>0.0</v>
      </c>
      <c r="J57" s="2">
        <v>402.51</v>
      </c>
      <c r="K57" s="2">
        <v>138.23</v>
      </c>
    </row>
    <row r="58" ht="15.75" customHeight="1">
      <c r="A58" s="2" t="s">
        <v>131</v>
      </c>
      <c r="B58" s="3">
        <v>45904.0</v>
      </c>
      <c r="C58" s="2" t="s">
        <v>110</v>
      </c>
      <c r="D58" s="2" t="s">
        <v>23</v>
      </c>
      <c r="E58" s="2" t="s">
        <v>32</v>
      </c>
      <c r="F58" s="2" t="s">
        <v>33</v>
      </c>
      <c r="G58" s="2">
        <v>5.0</v>
      </c>
      <c r="H58" s="2">
        <v>33.22</v>
      </c>
      <c r="I58" s="2">
        <v>0.05</v>
      </c>
      <c r="J58" s="2">
        <v>157.79</v>
      </c>
      <c r="K58" s="2">
        <v>40.65</v>
      </c>
    </row>
    <row r="59" ht="15.75" customHeight="1">
      <c r="A59" s="2" t="s">
        <v>132</v>
      </c>
      <c r="B59" s="3">
        <v>45877.0</v>
      </c>
      <c r="C59" s="2" t="s">
        <v>133</v>
      </c>
      <c r="D59" s="2" t="s">
        <v>13</v>
      </c>
      <c r="E59" s="4" t="s">
        <v>24</v>
      </c>
      <c r="F59" s="2" t="s">
        <v>25</v>
      </c>
      <c r="G59" s="2">
        <v>8.0</v>
      </c>
      <c r="H59" s="2">
        <v>20.8</v>
      </c>
      <c r="I59" s="2">
        <v>0.0</v>
      </c>
      <c r="J59" s="2">
        <v>166.39</v>
      </c>
      <c r="K59" s="2">
        <v>51.85</v>
      </c>
    </row>
    <row r="60" ht="15.75" customHeight="1">
      <c r="A60" s="2" t="s">
        <v>134</v>
      </c>
      <c r="B60" s="3">
        <v>45875.0</v>
      </c>
      <c r="C60" s="2" t="s">
        <v>135</v>
      </c>
      <c r="D60" s="2" t="s">
        <v>23</v>
      </c>
      <c r="E60" s="2" t="s">
        <v>37</v>
      </c>
      <c r="F60" s="2" t="s">
        <v>25</v>
      </c>
      <c r="G60" s="2">
        <v>6.0</v>
      </c>
      <c r="H60" s="2">
        <v>36.99</v>
      </c>
      <c r="I60" s="2">
        <v>0.1</v>
      </c>
      <c r="J60" s="2">
        <v>199.75</v>
      </c>
      <c r="K60" s="2">
        <v>56.96</v>
      </c>
    </row>
    <row r="61" ht="15.75" customHeight="1">
      <c r="A61" s="2" t="s">
        <v>136</v>
      </c>
      <c r="B61" s="3">
        <v>45907.0</v>
      </c>
      <c r="C61" s="2" t="s">
        <v>137</v>
      </c>
      <c r="D61" s="2" t="s">
        <v>48</v>
      </c>
      <c r="E61" s="2" t="s">
        <v>53</v>
      </c>
      <c r="F61" s="2" t="s">
        <v>25</v>
      </c>
      <c r="G61" s="2">
        <v>7.0</v>
      </c>
      <c r="H61" s="2">
        <v>53.65</v>
      </c>
      <c r="I61" s="2">
        <v>0.05</v>
      </c>
      <c r="J61" s="2">
        <v>356.76</v>
      </c>
      <c r="K61" s="2">
        <v>89.21</v>
      </c>
    </row>
    <row r="62" ht="15.75" customHeight="1">
      <c r="A62" s="2" t="s">
        <v>138</v>
      </c>
      <c r="B62" s="3">
        <v>45753.0</v>
      </c>
      <c r="C62" s="2" t="s">
        <v>61</v>
      </c>
      <c r="D62" s="2" t="s">
        <v>23</v>
      </c>
      <c r="E62" s="2" t="s">
        <v>53</v>
      </c>
      <c r="F62" s="2" t="s">
        <v>25</v>
      </c>
      <c r="G62" s="2">
        <v>4.0</v>
      </c>
      <c r="H62" s="2">
        <v>51.0</v>
      </c>
      <c r="I62" s="2">
        <v>0.05</v>
      </c>
      <c r="J62" s="2">
        <v>193.79</v>
      </c>
      <c r="K62" s="2">
        <v>49.38</v>
      </c>
    </row>
    <row r="63" ht="15.75" customHeight="1">
      <c r="A63" s="2" t="s">
        <v>139</v>
      </c>
      <c r="B63" s="3">
        <v>45817.0</v>
      </c>
      <c r="C63" s="2" t="s">
        <v>140</v>
      </c>
      <c r="D63" s="2" t="s">
        <v>23</v>
      </c>
      <c r="E63" s="2" t="s">
        <v>53</v>
      </c>
      <c r="F63" s="2" t="s">
        <v>25</v>
      </c>
      <c r="G63" s="2">
        <v>5.0</v>
      </c>
      <c r="H63" s="2">
        <v>52.03</v>
      </c>
      <c r="I63" s="2">
        <v>0.0</v>
      </c>
      <c r="J63" s="2">
        <v>260.17</v>
      </c>
      <c r="K63" s="2">
        <v>65.44</v>
      </c>
    </row>
    <row r="64" ht="15.75" customHeight="1">
      <c r="A64" s="2" t="s">
        <v>141</v>
      </c>
      <c r="B64" s="3">
        <v>45836.0</v>
      </c>
      <c r="C64" s="2" t="s">
        <v>142</v>
      </c>
      <c r="D64" s="2" t="s">
        <v>19</v>
      </c>
      <c r="E64" s="2" t="s">
        <v>32</v>
      </c>
      <c r="F64" s="2" t="s">
        <v>33</v>
      </c>
      <c r="G64" s="2">
        <v>4.0</v>
      </c>
      <c r="H64" s="2">
        <v>31.43</v>
      </c>
      <c r="I64" s="2">
        <v>0.05</v>
      </c>
      <c r="J64" s="2">
        <v>119.42</v>
      </c>
      <c r="K64" s="2">
        <v>34.44</v>
      </c>
    </row>
    <row r="65" ht="15.75" customHeight="1">
      <c r="A65" s="2" t="s">
        <v>143</v>
      </c>
      <c r="B65" s="3">
        <v>45942.0</v>
      </c>
      <c r="C65" s="2" t="s">
        <v>145</v>
      </c>
      <c r="D65" s="2" t="s">
        <v>23</v>
      </c>
      <c r="E65" s="2" t="s">
        <v>39</v>
      </c>
      <c r="F65" s="2" t="s">
        <v>25</v>
      </c>
      <c r="G65" s="2">
        <v>3.0</v>
      </c>
      <c r="H65" s="2">
        <v>41.0</v>
      </c>
      <c r="I65" s="2">
        <v>0.05</v>
      </c>
      <c r="J65" s="2">
        <v>116.85</v>
      </c>
      <c r="K65" s="2">
        <v>39.57</v>
      </c>
    </row>
    <row r="66" ht="15.75" customHeight="1">
      <c r="A66" s="2" t="s">
        <v>146</v>
      </c>
      <c r="B66" s="3">
        <v>45994.0</v>
      </c>
      <c r="C66" s="2" t="s">
        <v>135</v>
      </c>
      <c r="D66" s="2" t="s">
        <v>23</v>
      </c>
      <c r="E66" s="2" t="s">
        <v>14</v>
      </c>
      <c r="F66" s="2" t="s">
        <v>15</v>
      </c>
      <c r="G66" s="2">
        <v>6.0</v>
      </c>
      <c r="H66" s="2">
        <v>193.81</v>
      </c>
      <c r="I66" s="2">
        <v>0.0</v>
      </c>
      <c r="J66" s="2">
        <v>1162.87</v>
      </c>
      <c r="K66" s="2">
        <v>283.04</v>
      </c>
    </row>
    <row r="67" ht="15.75" customHeight="1">
      <c r="A67" s="2" t="s">
        <v>147</v>
      </c>
      <c r="B67" s="3">
        <v>45853.0</v>
      </c>
      <c r="C67" s="2" t="s">
        <v>12</v>
      </c>
      <c r="D67" s="2" t="s">
        <v>19</v>
      </c>
      <c r="E67" s="2" t="s">
        <v>53</v>
      </c>
      <c r="F67" s="2" t="s">
        <v>25</v>
      </c>
      <c r="G67" s="2">
        <v>2.0</v>
      </c>
      <c r="H67" s="2">
        <v>56.6</v>
      </c>
      <c r="I67" s="2">
        <v>0.0</v>
      </c>
      <c r="J67" s="2">
        <v>113.2</v>
      </c>
      <c r="K67" s="2">
        <v>37.11</v>
      </c>
    </row>
    <row r="68" ht="15.75" customHeight="1">
      <c r="A68" s="2" t="s">
        <v>148</v>
      </c>
      <c r="B68" s="3">
        <v>45906.0</v>
      </c>
      <c r="C68" s="2" t="s">
        <v>41</v>
      </c>
      <c r="D68" s="2" t="s">
        <v>48</v>
      </c>
      <c r="E68" s="4" t="s">
        <v>24</v>
      </c>
      <c r="F68" s="2" t="s">
        <v>25</v>
      </c>
      <c r="G68" s="2">
        <v>5.0</v>
      </c>
      <c r="H68" s="2">
        <v>23.54</v>
      </c>
      <c r="I68" s="2">
        <v>0.0</v>
      </c>
      <c r="J68" s="2">
        <v>117.69</v>
      </c>
      <c r="K68" s="2">
        <v>34.88</v>
      </c>
    </row>
    <row r="69" ht="15.75" customHeight="1">
      <c r="A69" s="2" t="s">
        <v>149</v>
      </c>
      <c r="B69" s="3">
        <v>45693.0</v>
      </c>
      <c r="C69" s="2" t="s">
        <v>150</v>
      </c>
      <c r="D69" s="2" t="s">
        <v>19</v>
      </c>
      <c r="E69" s="2" t="s">
        <v>53</v>
      </c>
      <c r="F69" s="2" t="s">
        <v>25</v>
      </c>
      <c r="G69" s="2">
        <v>1.0</v>
      </c>
      <c r="H69" s="2">
        <v>55.6</v>
      </c>
      <c r="I69" s="2">
        <v>0.05</v>
      </c>
      <c r="J69" s="2">
        <v>52.82</v>
      </c>
      <c r="K69" s="2">
        <v>12.34</v>
      </c>
    </row>
    <row r="70" ht="15.75" customHeight="1">
      <c r="A70" s="2" t="s">
        <v>151</v>
      </c>
      <c r="B70" s="3">
        <v>45840.0</v>
      </c>
      <c r="C70" s="2" t="s">
        <v>145</v>
      </c>
      <c r="D70" s="2" t="s">
        <v>13</v>
      </c>
      <c r="E70" s="2" t="s">
        <v>14</v>
      </c>
      <c r="F70" s="2" t="s">
        <v>15</v>
      </c>
      <c r="G70" s="2">
        <v>8.0</v>
      </c>
      <c r="H70" s="2">
        <v>204.65</v>
      </c>
      <c r="I70" s="2">
        <v>0.15</v>
      </c>
      <c r="J70" s="2">
        <v>1391.63</v>
      </c>
      <c r="K70" s="2">
        <v>289.9</v>
      </c>
    </row>
    <row r="71" ht="15.75" customHeight="1">
      <c r="A71" s="2" t="s">
        <v>152</v>
      </c>
      <c r="B71" s="3">
        <v>45874.0</v>
      </c>
      <c r="C71" s="2" t="s">
        <v>18</v>
      </c>
      <c r="D71" s="2" t="s">
        <v>19</v>
      </c>
      <c r="E71" s="2" t="s">
        <v>37</v>
      </c>
      <c r="F71" s="2" t="s">
        <v>25</v>
      </c>
      <c r="G71" s="2">
        <v>3.0</v>
      </c>
      <c r="H71" s="2">
        <v>32.78</v>
      </c>
      <c r="I71" s="2">
        <v>0.1</v>
      </c>
      <c r="J71" s="2">
        <v>88.5</v>
      </c>
      <c r="K71" s="2">
        <v>24.69</v>
      </c>
    </row>
    <row r="72" ht="15.75" customHeight="1">
      <c r="A72" s="2" t="s">
        <v>153</v>
      </c>
      <c r="B72" s="3">
        <v>45733.0</v>
      </c>
      <c r="C72" s="2" t="s">
        <v>154</v>
      </c>
      <c r="D72" s="2" t="s">
        <v>13</v>
      </c>
      <c r="E72" s="2" t="s">
        <v>56</v>
      </c>
      <c r="F72" s="2" t="s">
        <v>25</v>
      </c>
      <c r="G72" s="2">
        <v>3.0</v>
      </c>
      <c r="H72" s="2">
        <v>47.15</v>
      </c>
      <c r="I72" s="2">
        <v>0.0</v>
      </c>
      <c r="J72" s="2">
        <v>141.45</v>
      </c>
      <c r="K72" s="2">
        <v>28.14</v>
      </c>
    </row>
    <row r="73" ht="15.75" customHeight="1">
      <c r="A73" s="2" t="s">
        <v>155</v>
      </c>
      <c r="B73" s="3">
        <v>45801.0</v>
      </c>
      <c r="C73" s="2" t="s">
        <v>108</v>
      </c>
      <c r="D73" s="2" t="s">
        <v>19</v>
      </c>
      <c r="E73" s="2" t="s">
        <v>39</v>
      </c>
      <c r="F73" s="2" t="s">
        <v>25</v>
      </c>
      <c r="G73" s="2">
        <v>6.0</v>
      </c>
      <c r="H73" s="2">
        <v>40.1</v>
      </c>
      <c r="I73" s="2">
        <v>0.05</v>
      </c>
      <c r="J73" s="2">
        <v>228.59</v>
      </c>
      <c r="K73" s="2">
        <v>64.32</v>
      </c>
    </row>
    <row r="74" ht="15.75" customHeight="1">
      <c r="A74" s="2" t="s">
        <v>156</v>
      </c>
      <c r="B74" s="3">
        <v>45808.0</v>
      </c>
      <c r="C74" s="2" t="s">
        <v>87</v>
      </c>
      <c r="D74" s="2" t="s">
        <v>19</v>
      </c>
      <c r="E74" s="2" t="s">
        <v>56</v>
      </c>
      <c r="F74" s="2" t="s">
        <v>25</v>
      </c>
      <c r="G74" s="2">
        <v>4.0</v>
      </c>
      <c r="H74" s="2">
        <v>46.68</v>
      </c>
      <c r="I74" s="2">
        <v>0.05</v>
      </c>
      <c r="J74" s="2">
        <v>177.4</v>
      </c>
      <c r="K74" s="2">
        <v>40.72</v>
      </c>
    </row>
    <row r="75" ht="15.75" customHeight="1">
      <c r="A75" s="2" t="s">
        <v>157</v>
      </c>
      <c r="B75" s="3">
        <v>45779.0</v>
      </c>
      <c r="C75" s="2" t="s">
        <v>133</v>
      </c>
      <c r="D75" s="2" t="s">
        <v>13</v>
      </c>
      <c r="E75" s="2" t="s">
        <v>14</v>
      </c>
      <c r="F75" s="2" t="s">
        <v>15</v>
      </c>
      <c r="G75" s="2">
        <v>5.0</v>
      </c>
      <c r="H75" s="2">
        <v>224.48</v>
      </c>
      <c r="I75" s="2">
        <v>0.15</v>
      </c>
      <c r="J75" s="2">
        <v>954.04</v>
      </c>
      <c r="K75" s="2">
        <v>172.5</v>
      </c>
    </row>
    <row r="76" ht="15.75" customHeight="1">
      <c r="A76" s="2" t="s">
        <v>158</v>
      </c>
      <c r="B76" s="3">
        <v>45731.0</v>
      </c>
      <c r="C76" s="2" t="s">
        <v>12</v>
      </c>
      <c r="D76" s="2" t="s">
        <v>23</v>
      </c>
      <c r="E76" s="2" t="s">
        <v>14</v>
      </c>
      <c r="F76" s="2" t="s">
        <v>15</v>
      </c>
      <c r="G76" s="2">
        <v>5.0</v>
      </c>
      <c r="H76" s="2">
        <v>204.99</v>
      </c>
      <c r="I76" s="2">
        <v>0.0</v>
      </c>
      <c r="J76" s="2">
        <v>1024.95</v>
      </c>
      <c r="K76" s="2">
        <v>360.17</v>
      </c>
    </row>
    <row r="77" ht="15.75" customHeight="1">
      <c r="A77" s="2" t="s">
        <v>159</v>
      </c>
      <c r="B77" s="3">
        <v>45940.0</v>
      </c>
      <c r="C77" s="2" t="s">
        <v>12</v>
      </c>
      <c r="D77" s="2" t="s">
        <v>48</v>
      </c>
      <c r="E77" s="2" t="s">
        <v>37</v>
      </c>
      <c r="F77" s="2" t="s">
        <v>25</v>
      </c>
      <c r="G77" s="2">
        <v>5.0</v>
      </c>
      <c r="H77" s="2">
        <v>36.9</v>
      </c>
      <c r="I77" s="2">
        <v>0.05</v>
      </c>
      <c r="J77" s="2">
        <v>175.25</v>
      </c>
      <c r="K77" s="2">
        <v>58.79</v>
      </c>
    </row>
    <row r="78" ht="15.75" customHeight="1">
      <c r="A78" s="2" t="s">
        <v>160</v>
      </c>
      <c r="B78" s="3">
        <v>45978.0</v>
      </c>
      <c r="C78" s="2" t="s">
        <v>18</v>
      </c>
      <c r="D78" s="2" t="s">
        <v>23</v>
      </c>
      <c r="E78" s="2" t="s">
        <v>53</v>
      </c>
      <c r="F78" s="2" t="s">
        <v>25</v>
      </c>
      <c r="G78" s="2">
        <v>5.0</v>
      </c>
      <c r="H78" s="2">
        <v>51.35</v>
      </c>
      <c r="I78" s="2">
        <v>0.15</v>
      </c>
      <c r="J78" s="2">
        <v>218.22</v>
      </c>
      <c r="K78" s="2">
        <v>66.59</v>
      </c>
    </row>
    <row r="79" ht="15.75" customHeight="1">
      <c r="A79" s="2" t="s">
        <v>161</v>
      </c>
      <c r="B79" s="3">
        <v>45909.0</v>
      </c>
      <c r="C79" s="2" t="s">
        <v>94</v>
      </c>
      <c r="D79" s="2" t="s">
        <v>13</v>
      </c>
      <c r="E79" s="2" t="s">
        <v>37</v>
      </c>
      <c r="F79" s="2" t="s">
        <v>25</v>
      </c>
      <c r="G79" s="2">
        <v>7.0</v>
      </c>
      <c r="H79" s="2">
        <v>37.28</v>
      </c>
      <c r="I79" s="2">
        <v>0.05</v>
      </c>
      <c r="J79" s="2">
        <v>247.93</v>
      </c>
      <c r="K79" s="2">
        <v>76.85</v>
      </c>
    </row>
    <row r="80" ht="15.75" customHeight="1">
      <c r="A80" s="2" t="s">
        <v>162</v>
      </c>
      <c r="B80" s="3">
        <v>45696.0</v>
      </c>
      <c r="C80" s="2" t="s">
        <v>110</v>
      </c>
      <c r="D80" s="2" t="s">
        <v>19</v>
      </c>
      <c r="E80" s="2" t="s">
        <v>53</v>
      </c>
      <c r="F80" s="2" t="s">
        <v>25</v>
      </c>
      <c r="G80" s="2">
        <v>4.0</v>
      </c>
      <c r="H80" s="2">
        <v>55.51</v>
      </c>
      <c r="I80" s="2">
        <v>0.05</v>
      </c>
      <c r="J80" s="2">
        <v>210.95</v>
      </c>
      <c r="K80" s="2">
        <v>41.92</v>
      </c>
    </row>
    <row r="81" ht="15.75" customHeight="1">
      <c r="A81" s="2" t="s">
        <v>163</v>
      </c>
      <c r="B81" s="3">
        <v>45974.0</v>
      </c>
      <c r="C81" s="2" t="s">
        <v>92</v>
      </c>
      <c r="D81" s="2" t="s">
        <v>13</v>
      </c>
      <c r="E81" s="2" t="s">
        <v>53</v>
      </c>
      <c r="F81" s="2" t="s">
        <v>25</v>
      </c>
      <c r="G81" s="2">
        <v>2.0</v>
      </c>
      <c r="H81" s="2">
        <v>54.72</v>
      </c>
      <c r="I81" s="2">
        <v>0.0</v>
      </c>
      <c r="J81" s="2">
        <v>109.45</v>
      </c>
      <c r="K81" s="2">
        <v>38.99</v>
      </c>
    </row>
    <row r="82" ht="15.75" customHeight="1">
      <c r="A82" s="2" t="s">
        <v>164</v>
      </c>
      <c r="B82" s="3">
        <v>45969.0</v>
      </c>
      <c r="C82" s="2" t="s">
        <v>22</v>
      </c>
      <c r="D82" s="2" t="s">
        <v>48</v>
      </c>
      <c r="E82" s="2" t="s">
        <v>37</v>
      </c>
      <c r="F82" s="2" t="s">
        <v>25</v>
      </c>
      <c r="G82" s="2">
        <v>3.0</v>
      </c>
      <c r="H82" s="2">
        <v>35.47</v>
      </c>
      <c r="I82" s="2">
        <v>0.15</v>
      </c>
      <c r="J82" s="2">
        <v>90.44</v>
      </c>
      <c r="K82" s="2">
        <v>27.59</v>
      </c>
    </row>
    <row r="83" ht="15.75" customHeight="1">
      <c r="A83" s="2" t="s">
        <v>165</v>
      </c>
      <c r="B83" s="3">
        <v>45960.0</v>
      </c>
      <c r="C83" s="2" t="s">
        <v>166</v>
      </c>
      <c r="D83" s="2" t="s">
        <v>23</v>
      </c>
      <c r="E83" s="2" t="s">
        <v>53</v>
      </c>
      <c r="F83" s="2" t="s">
        <v>25</v>
      </c>
      <c r="G83" s="2">
        <v>6.0</v>
      </c>
      <c r="H83" s="2">
        <v>57.66</v>
      </c>
      <c r="I83" s="2">
        <v>0.15</v>
      </c>
      <c r="J83" s="2">
        <v>294.06</v>
      </c>
      <c r="K83" s="2">
        <v>79.04</v>
      </c>
    </row>
    <row r="84" ht="15.75" customHeight="1">
      <c r="A84" s="2" t="s">
        <v>167</v>
      </c>
      <c r="B84" s="3">
        <v>45677.0</v>
      </c>
      <c r="C84" s="2" t="s">
        <v>168</v>
      </c>
      <c r="D84" s="2" t="s">
        <v>48</v>
      </c>
      <c r="E84" s="2" t="s">
        <v>72</v>
      </c>
      <c r="F84" s="2" t="s">
        <v>73</v>
      </c>
      <c r="G84" s="2">
        <v>5.0</v>
      </c>
      <c r="H84" s="2">
        <v>70.13</v>
      </c>
      <c r="I84" s="2">
        <v>0.0</v>
      </c>
      <c r="J84" s="2">
        <v>350.63</v>
      </c>
      <c r="K84" s="2">
        <v>94.4</v>
      </c>
    </row>
    <row r="85" ht="15.75" customHeight="1">
      <c r="A85" s="2" t="s">
        <v>170</v>
      </c>
      <c r="B85" s="3">
        <v>45711.0</v>
      </c>
      <c r="C85" s="2" t="s">
        <v>100</v>
      </c>
      <c r="D85" s="2" t="s">
        <v>13</v>
      </c>
      <c r="E85" s="2" t="s">
        <v>14</v>
      </c>
      <c r="F85" s="2" t="s">
        <v>15</v>
      </c>
      <c r="G85" s="2">
        <v>1.0</v>
      </c>
      <c r="H85" s="2">
        <v>200.48</v>
      </c>
      <c r="I85" s="2">
        <v>0.0</v>
      </c>
      <c r="J85" s="2">
        <v>200.48</v>
      </c>
      <c r="K85" s="2">
        <v>36.25</v>
      </c>
    </row>
    <row r="86" ht="15.75" customHeight="1">
      <c r="A86" s="2" t="s">
        <v>171</v>
      </c>
      <c r="B86" s="3">
        <v>46015.0</v>
      </c>
      <c r="C86" s="2" t="s">
        <v>79</v>
      </c>
      <c r="D86" s="2" t="s">
        <v>23</v>
      </c>
      <c r="E86" s="2" t="s">
        <v>32</v>
      </c>
      <c r="F86" s="2" t="s">
        <v>33</v>
      </c>
      <c r="G86" s="2">
        <v>7.0</v>
      </c>
      <c r="H86" s="2">
        <v>29.67</v>
      </c>
      <c r="I86" s="2">
        <v>0.0</v>
      </c>
      <c r="J86" s="2">
        <v>207.71</v>
      </c>
      <c r="K86" s="2">
        <v>39.45</v>
      </c>
    </row>
    <row r="87" ht="15.75" customHeight="1">
      <c r="A87" s="2" t="s">
        <v>172</v>
      </c>
      <c r="B87" s="3">
        <v>45843.0</v>
      </c>
      <c r="C87" s="2" t="s">
        <v>173</v>
      </c>
      <c r="D87" s="2" t="s">
        <v>48</v>
      </c>
      <c r="E87" s="2" t="s">
        <v>39</v>
      </c>
      <c r="F87" s="2" t="s">
        <v>25</v>
      </c>
      <c r="G87" s="2">
        <v>5.0</v>
      </c>
      <c r="H87" s="2">
        <v>37.61</v>
      </c>
      <c r="I87" s="2">
        <v>0.0</v>
      </c>
      <c r="J87" s="2">
        <v>188.05</v>
      </c>
      <c r="K87" s="2">
        <v>54.02</v>
      </c>
    </row>
    <row r="88" ht="15.75" customHeight="1">
      <c r="A88" s="2" t="s">
        <v>174</v>
      </c>
      <c r="B88" s="3">
        <v>45802.0</v>
      </c>
      <c r="C88" s="2" t="s">
        <v>154</v>
      </c>
      <c r="D88" s="2" t="s">
        <v>19</v>
      </c>
      <c r="E88" s="2" t="s">
        <v>39</v>
      </c>
      <c r="F88" s="2" t="s">
        <v>25</v>
      </c>
      <c r="G88" s="2">
        <v>4.0</v>
      </c>
      <c r="H88" s="2">
        <v>38.13</v>
      </c>
      <c r="I88" s="2">
        <v>0.0</v>
      </c>
      <c r="J88" s="2">
        <v>152.51</v>
      </c>
      <c r="K88" s="2">
        <v>44.13</v>
      </c>
    </row>
    <row r="89" ht="15.75" customHeight="1">
      <c r="A89" s="2" t="s">
        <v>175</v>
      </c>
      <c r="B89" s="3">
        <v>45692.0</v>
      </c>
      <c r="C89" s="2" t="s">
        <v>75</v>
      </c>
      <c r="D89" s="2" t="s">
        <v>48</v>
      </c>
      <c r="E89" s="2" t="s">
        <v>53</v>
      </c>
      <c r="F89" s="2" t="s">
        <v>25</v>
      </c>
      <c r="G89" s="2">
        <v>4.0</v>
      </c>
      <c r="H89" s="2">
        <v>55.9</v>
      </c>
      <c r="I89" s="2">
        <v>0.0</v>
      </c>
      <c r="J89" s="2">
        <v>223.62</v>
      </c>
      <c r="K89" s="2">
        <v>79.02</v>
      </c>
    </row>
    <row r="90" ht="15.75" customHeight="1">
      <c r="A90" s="2" t="s">
        <v>176</v>
      </c>
      <c r="B90" s="3">
        <v>45943.0</v>
      </c>
      <c r="C90" s="2" t="s">
        <v>177</v>
      </c>
      <c r="D90" s="2" t="s">
        <v>13</v>
      </c>
      <c r="E90" s="2" t="s">
        <v>56</v>
      </c>
      <c r="F90" s="2" t="s">
        <v>25</v>
      </c>
      <c r="G90" s="2">
        <v>8.0</v>
      </c>
      <c r="H90" s="2">
        <v>48.62</v>
      </c>
      <c r="I90" s="2">
        <v>0.1</v>
      </c>
      <c r="J90" s="2">
        <v>350.09</v>
      </c>
      <c r="K90" s="2">
        <v>127.24</v>
      </c>
    </row>
    <row r="91" ht="15.75" customHeight="1">
      <c r="A91" s="2" t="s">
        <v>178</v>
      </c>
      <c r="B91" s="3">
        <v>45881.0</v>
      </c>
      <c r="C91" s="2" t="s">
        <v>179</v>
      </c>
      <c r="D91" s="2" t="s">
        <v>19</v>
      </c>
      <c r="E91" s="2" t="s">
        <v>53</v>
      </c>
      <c r="F91" s="4" t="s">
        <v>25</v>
      </c>
      <c r="G91" s="2">
        <v>5.0</v>
      </c>
      <c r="H91" s="2">
        <v>50.83</v>
      </c>
      <c r="I91" s="2">
        <v>0.05</v>
      </c>
      <c r="J91" s="2">
        <v>241.45</v>
      </c>
      <c r="K91" s="2">
        <v>52.61</v>
      </c>
    </row>
    <row r="92" ht="15.75" customHeight="1">
      <c r="A92" s="2" t="s">
        <v>180</v>
      </c>
      <c r="B92" s="3">
        <v>45834.0</v>
      </c>
      <c r="C92" s="2" t="s">
        <v>145</v>
      </c>
      <c r="D92" s="2" t="s">
        <v>19</v>
      </c>
      <c r="E92" s="2" t="s">
        <v>56</v>
      </c>
      <c r="F92" s="2" t="s">
        <v>25</v>
      </c>
      <c r="G92" s="2">
        <v>5.0</v>
      </c>
      <c r="H92" s="2">
        <v>49.92</v>
      </c>
      <c r="I92" s="2">
        <v>0.05</v>
      </c>
      <c r="J92" s="2">
        <v>237.1</v>
      </c>
      <c r="K92" s="2">
        <v>50.78</v>
      </c>
    </row>
    <row r="93" ht="15.75" customHeight="1">
      <c r="A93" s="2" t="s">
        <v>181</v>
      </c>
      <c r="B93" s="3">
        <v>45663.0</v>
      </c>
      <c r="C93" s="2" t="s">
        <v>28</v>
      </c>
      <c r="D93" s="2" t="s">
        <v>19</v>
      </c>
      <c r="E93" s="4" t="s">
        <v>24</v>
      </c>
      <c r="F93" s="2" t="s">
        <v>25</v>
      </c>
      <c r="G93" s="2">
        <v>1.0</v>
      </c>
      <c r="H93" s="2">
        <v>21.7</v>
      </c>
      <c r="I93" s="2">
        <v>0.0</v>
      </c>
      <c r="J93" s="2">
        <v>21.7</v>
      </c>
      <c r="K93" s="2">
        <v>8.0</v>
      </c>
    </row>
    <row r="94" ht="15.75" customHeight="1">
      <c r="A94" s="2" t="s">
        <v>182</v>
      </c>
      <c r="B94" s="3">
        <v>45710.0</v>
      </c>
      <c r="C94" s="2" t="s">
        <v>126</v>
      </c>
      <c r="D94" s="2" t="s">
        <v>48</v>
      </c>
      <c r="E94" s="2" t="s">
        <v>53</v>
      </c>
      <c r="F94" s="2" t="s">
        <v>25</v>
      </c>
      <c r="G94" s="2">
        <v>7.0</v>
      </c>
      <c r="H94" s="2">
        <v>57.2</v>
      </c>
      <c r="I94" s="2">
        <v>0.1</v>
      </c>
      <c r="J94" s="2">
        <v>360.36</v>
      </c>
      <c r="K94" s="2">
        <v>94.76</v>
      </c>
    </row>
    <row r="95" ht="15.75" customHeight="1">
      <c r="A95" s="2" t="s">
        <v>183</v>
      </c>
      <c r="B95" s="3">
        <v>45708.0</v>
      </c>
      <c r="C95" s="2" t="s">
        <v>47</v>
      </c>
      <c r="D95" s="2" t="s">
        <v>19</v>
      </c>
      <c r="E95" s="4" t="s">
        <v>24</v>
      </c>
      <c r="F95" s="2" t="s">
        <v>25</v>
      </c>
      <c r="G95" s="2">
        <v>3.0</v>
      </c>
      <c r="H95" s="2">
        <v>21.11</v>
      </c>
      <c r="I95" s="2">
        <v>0.05</v>
      </c>
      <c r="J95" s="2">
        <v>60.17</v>
      </c>
      <c r="K95" s="2">
        <v>21.31</v>
      </c>
    </row>
    <row r="96" ht="15.75" customHeight="1">
      <c r="A96" s="2" t="s">
        <v>184</v>
      </c>
      <c r="B96" s="3">
        <v>45752.0</v>
      </c>
      <c r="C96" s="2" t="s">
        <v>185</v>
      </c>
      <c r="D96" s="2" t="s">
        <v>13</v>
      </c>
      <c r="E96" s="2" t="s">
        <v>39</v>
      </c>
      <c r="F96" s="2" t="s">
        <v>25</v>
      </c>
      <c r="G96" s="2">
        <v>6.0</v>
      </c>
      <c r="H96" s="2">
        <v>41.36</v>
      </c>
      <c r="I96" s="2">
        <v>0.1</v>
      </c>
      <c r="J96" s="2">
        <v>223.34</v>
      </c>
      <c r="K96" s="2">
        <v>82.78</v>
      </c>
    </row>
    <row r="97" ht="15.75" customHeight="1">
      <c r="A97" s="2" t="s">
        <v>186</v>
      </c>
      <c r="B97" s="3">
        <v>45925.0</v>
      </c>
      <c r="C97" s="2" t="s">
        <v>61</v>
      </c>
      <c r="D97" s="2" t="s">
        <v>48</v>
      </c>
      <c r="E97" s="4" t="s">
        <v>24</v>
      </c>
      <c r="F97" s="2" t="s">
        <v>25</v>
      </c>
      <c r="G97" s="2">
        <v>2.0</v>
      </c>
      <c r="H97" s="2">
        <v>22.07</v>
      </c>
      <c r="I97" s="2">
        <v>0.1</v>
      </c>
      <c r="J97" s="2">
        <v>39.73</v>
      </c>
      <c r="K97" s="2">
        <v>10.96</v>
      </c>
    </row>
    <row r="98" ht="15.75" customHeight="1">
      <c r="A98" s="2" t="s">
        <v>187</v>
      </c>
      <c r="B98" s="3">
        <v>45912.0</v>
      </c>
      <c r="C98" s="2" t="s">
        <v>179</v>
      </c>
      <c r="D98" s="2" t="s">
        <v>13</v>
      </c>
      <c r="E98" s="2" t="s">
        <v>39</v>
      </c>
      <c r="F98" s="2" t="s">
        <v>25</v>
      </c>
      <c r="G98" s="2">
        <v>5.0</v>
      </c>
      <c r="H98" s="2">
        <v>36.43</v>
      </c>
      <c r="I98" s="2">
        <v>0.1</v>
      </c>
      <c r="J98" s="2">
        <v>163.94</v>
      </c>
      <c r="K98" s="2">
        <v>42.95</v>
      </c>
    </row>
    <row r="99" ht="15.75" customHeight="1">
      <c r="A99" s="2" t="s">
        <v>188</v>
      </c>
      <c r="B99" s="3">
        <v>45849.0</v>
      </c>
      <c r="C99" s="2" t="s">
        <v>173</v>
      </c>
      <c r="D99" s="2" t="s">
        <v>48</v>
      </c>
      <c r="E99" s="2" t="s">
        <v>14</v>
      </c>
      <c r="F99" s="2" t="s">
        <v>15</v>
      </c>
      <c r="G99" s="2">
        <v>5.0</v>
      </c>
      <c r="H99" s="2">
        <v>214.04</v>
      </c>
      <c r="I99" s="2">
        <v>0.1</v>
      </c>
      <c r="J99" s="2">
        <v>963.19</v>
      </c>
      <c r="K99" s="2">
        <v>324.99</v>
      </c>
    </row>
    <row r="100" ht="15.75" customHeight="1">
      <c r="A100" s="2" t="s">
        <v>189</v>
      </c>
      <c r="B100" s="3">
        <v>45965.0</v>
      </c>
      <c r="C100" s="2" t="s">
        <v>168</v>
      </c>
      <c r="D100" s="2" t="s">
        <v>48</v>
      </c>
      <c r="E100" s="2" t="s">
        <v>72</v>
      </c>
      <c r="F100" s="2" t="s">
        <v>73</v>
      </c>
      <c r="G100" s="2">
        <v>2.0</v>
      </c>
      <c r="H100" s="2">
        <v>65.94</v>
      </c>
      <c r="I100" s="2">
        <v>0.05</v>
      </c>
      <c r="J100" s="2">
        <v>125.28</v>
      </c>
      <c r="K100" s="2">
        <v>36.64</v>
      </c>
    </row>
    <row r="101" ht="15.75" customHeight="1">
      <c r="A101" s="2" t="s">
        <v>190</v>
      </c>
      <c r="B101" s="3">
        <v>45738.0</v>
      </c>
      <c r="C101" s="2" t="s">
        <v>133</v>
      </c>
      <c r="D101" s="2" t="s">
        <v>19</v>
      </c>
      <c r="E101" s="2" t="s">
        <v>37</v>
      </c>
      <c r="F101" s="2" t="s">
        <v>25</v>
      </c>
      <c r="G101" s="2">
        <v>8.0</v>
      </c>
      <c r="H101" s="2">
        <v>37.3</v>
      </c>
      <c r="I101" s="2">
        <v>0.0</v>
      </c>
      <c r="J101" s="2">
        <v>298.39</v>
      </c>
      <c r="K101" s="2">
        <v>82.14</v>
      </c>
    </row>
    <row r="102" ht="15.75" customHeight="1">
      <c r="A102" s="2" t="s">
        <v>191</v>
      </c>
      <c r="B102" s="3">
        <v>45726.0</v>
      </c>
      <c r="C102" s="2" t="s">
        <v>192</v>
      </c>
      <c r="D102" s="2" t="s">
        <v>48</v>
      </c>
      <c r="E102" s="2" t="s">
        <v>39</v>
      </c>
      <c r="F102" s="2" t="s">
        <v>25</v>
      </c>
      <c r="G102" s="2">
        <v>2.0</v>
      </c>
      <c r="H102" s="2">
        <v>41.66</v>
      </c>
      <c r="I102" s="2">
        <v>0.05</v>
      </c>
      <c r="J102" s="2">
        <v>79.16</v>
      </c>
      <c r="K102" s="2">
        <v>25.99</v>
      </c>
    </row>
    <row r="103" ht="15.75" customHeight="1">
      <c r="A103" s="2" t="s">
        <v>193</v>
      </c>
      <c r="B103" s="3">
        <v>45768.0</v>
      </c>
      <c r="C103" s="2" t="s">
        <v>168</v>
      </c>
      <c r="D103" s="2" t="s">
        <v>13</v>
      </c>
      <c r="E103" s="2" t="s">
        <v>53</v>
      </c>
      <c r="F103" s="2" t="s">
        <v>25</v>
      </c>
      <c r="G103" s="2">
        <v>2.0</v>
      </c>
      <c r="H103" s="2">
        <v>53.49</v>
      </c>
      <c r="I103" s="2">
        <v>0.05</v>
      </c>
      <c r="J103" s="2">
        <v>101.64</v>
      </c>
      <c r="K103" s="2">
        <v>33.74</v>
      </c>
    </row>
    <row r="104" ht="15.75" customHeight="1">
      <c r="A104" s="2" t="s">
        <v>194</v>
      </c>
      <c r="B104" s="3">
        <v>46017.0</v>
      </c>
      <c r="C104" s="2" t="s">
        <v>36</v>
      </c>
      <c r="D104" s="2" t="s">
        <v>23</v>
      </c>
      <c r="E104" s="2" t="s">
        <v>14</v>
      </c>
      <c r="F104" s="2" t="s">
        <v>15</v>
      </c>
      <c r="G104" s="2">
        <v>8.0</v>
      </c>
      <c r="H104" s="2">
        <v>198.3</v>
      </c>
      <c r="I104" s="2">
        <v>0.0</v>
      </c>
      <c r="J104" s="2">
        <v>1586.43</v>
      </c>
      <c r="K104" s="2">
        <v>399.5</v>
      </c>
    </row>
    <row r="105" ht="15.75" customHeight="1">
      <c r="A105" s="2" t="s">
        <v>195</v>
      </c>
      <c r="B105" s="3">
        <v>45718.0</v>
      </c>
      <c r="C105" s="2" t="s">
        <v>12</v>
      </c>
      <c r="D105" s="2" t="s">
        <v>13</v>
      </c>
      <c r="E105" s="2" t="s">
        <v>37</v>
      </c>
      <c r="F105" s="2" t="s">
        <v>25</v>
      </c>
      <c r="G105" s="2">
        <v>3.0</v>
      </c>
      <c r="H105" s="2">
        <v>37.1</v>
      </c>
      <c r="I105" s="2">
        <v>0.05</v>
      </c>
      <c r="J105" s="2">
        <v>105.72</v>
      </c>
      <c r="K105" s="2">
        <v>19.6</v>
      </c>
    </row>
    <row r="106" ht="15.75" customHeight="1">
      <c r="A106" s="2" t="s">
        <v>196</v>
      </c>
      <c r="B106" s="3">
        <v>45983.0</v>
      </c>
      <c r="C106" s="2" t="s">
        <v>61</v>
      </c>
      <c r="D106" s="2" t="s">
        <v>19</v>
      </c>
      <c r="E106" s="2" t="s">
        <v>56</v>
      </c>
      <c r="F106" s="2" t="s">
        <v>25</v>
      </c>
      <c r="G106" s="2">
        <v>5.0</v>
      </c>
      <c r="H106" s="2">
        <v>45.46</v>
      </c>
      <c r="I106" s="2">
        <v>0.0</v>
      </c>
      <c r="J106" s="2">
        <v>227.29</v>
      </c>
      <c r="K106" s="2">
        <v>78.32</v>
      </c>
    </row>
    <row r="107" ht="15.75" customHeight="1">
      <c r="A107" s="2" t="s">
        <v>197</v>
      </c>
      <c r="B107" s="3">
        <v>45958.0</v>
      </c>
      <c r="C107" s="2" t="s">
        <v>140</v>
      </c>
      <c r="D107" s="2" t="s">
        <v>19</v>
      </c>
      <c r="E107" s="2" t="s">
        <v>37</v>
      </c>
      <c r="F107" s="2" t="s">
        <v>25</v>
      </c>
      <c r="G107" s="2">
        <v>4.0</v>
      </c>
      <c r="H107" s="2">
        <v>33.36</v>
      </c>
      <c r="I107" s="2">
        <v>0.05</v>
      </c>
      <c r="J107" s="2">
        <v>126.75</v>
      </c>
      <c r="K107" s="2">
        <v>35.4</v>
      </c>
    </row>
    <row r="108" ht="15.75" customHeight="1">
      <c r="A108" s="2" t="s">
        <v>198</v>
      </c>
      <c r="B108" s="3">
        <v>45764.0</v>
      </c>
      <c r="C108" s="2" t="s">
        <v>45</v>
      </c>
      <c r="D108" s="2" t="s">
        <v>19</v>
      </c>
      <c r="E108" s="4" t="s">
        <v>24</v>
      </c>
      <c r="F108" s="2" t="s">
        <v>25</v>
      </c>
      <c r="G108" s="2">
        <v>1.0</v>
      </c>
      <c r="H108" s="2">
        <v>21.93</v>
      </c>
      <c r="I108" s="2">
        <v>0.05</v>
      </c>
      <c r="J108" s="2">
        <v>20.84</v>
      </c>
      <c r="K108" s="2">
        <v>5.79</v>
      </c>
    </row>
    <row r="109" ht="15.75" customHeight="1">
      <c r="A109" s="2" t="s">
        <v>199</v>
      </c>
      <c r="B109" s="3">
        <v>45837.0</v>
      </c>
      <c r="C109" s="2" t="s">
        <v>77</v>
      </c>
      <c r="D109" s="2" t="s">
        <v>13</v>
      </c>
      <c r="E109" s="2" t="s">
        <v>37</v>
      </c>
      <c r="F109" s="2" t="s">
        <v>25</v>
      </c>
      <c r="G109" s="2">
        <v>2.0</v>
      </c>
      <c r="H109" s="2">
        <v>37.06</v>
      </c>
      <c r="I109" s="2">
        <v>0.0</v>
      </c>
      <c r="J109" s="2">
        <v>74.12</v>
      </c>
      <c r="K109" s="2">
        <v>19.31</v>
      </c>
    </row>
    <row r="110" ht="15.75" customHeight="1">
      <c r="A110" s="2" t="s">
        <v>200</v>
      </c>
      <c r="B110" s="3">
        <v>45873.0</v>
      </c>
      <c r="C110" s="2" t="s">
        <v>83</v>
      </c>
      <c r="D110" s="2" t="s">
        <v>19</v>
      </c>
      <c r="E110" s="2" t="s">
        <v>14</v>
      </c>
      <c r="F110" s="2" t="s">
        <v>15</v>
      </c>
      <c r="G110" s="2">
        <v>8.0</v>
      </c>
      <c r="H110" s="2">
        <v>209.48</v>
      </c>
      <c r="I110" s="2">
        <v>0.05</v>
      </c>
      <c r="J110" s="2">
        <v>1592.05</v>
      </c>
      <c r="K110" s="2">
        <v>487.51</v>
      </c>
    </row>
    <row r="111" ht="15.75" customHeight="1">
      <c r="A111" s="2" t="s">
        <v>201</v>
      </c>
      <c r="B111" s="3">
        <v>45895.0</v>
      </c>
      <c r="C111" s="2" t="s">
        <v>142</v>
      </c>
      <c r="D111" s="2" t="s">
        <v>13</v>
      </c>
      <c r="E111" s="4" t="s">
        <v>24</v>
      </c>
      <c r="F111" s="2" t="s">
        <v>25</v>
      </c>
      <c r="G111" s="2">
        <v>6.0</v>
      </c>
      <c r="H111" s="2">
        <v>20.76</v>
      </c>
      <c r="I111" s="2">
        <v>0.0</v>
      </c>
      <c r="J111" s="2">
        <v>124.56</v>
      </c>
      <c r="K111" s="2">
        <v>30.21</v>
      </c>
    </row>
    <row r="112" ht="15.75" customHeight="1">
      <c r="A112" s="2" t="s">
        <v>202</v>
      </c>
      <c r="B112" s="3">
        <v>45849.0</v>
      </c>
      <c r="C112" s="2" t="s">
        <v>203</v>
      </c>
      <c r="D112" s="2" t="s">
        <v>13</v>
      </c>
      <c r="E112" s="2" t="s">
        <v>39</v>
      </c>
      <c r="F112" s="2" t="s">
        <v>25</v>
      </c>
      <c r="G112" s="2">
        <v>5.0</v>
      </c>
      <c r="H112" s="2">
        <v>41.29</v>
      </c>
      <c r="I112" s="2">
        <v>0.05</v>
      </c>
      <c r="J112" s="2">
        <v>196.13</v>
      </c>
      <c r="K112" s="2">
        <v>58.95</v>
      </c>
    </row>
    <row r="113" ht="15.75" customHeight="1">
      <c r="A113" s="2" t="s">
        <v>204</v>
      </c>
      <c r="B113" s="3">
        <v>45783.0</v>
      </c>
      <c r="C113" s="2" t="s">
        <v>70</v>
      </c>
      <c r="D113" s="2" t="s">
        <v>19</v>
      </c>
      <c r="E113" s="2" t="s">
        <v>53</v>
      </c>
      <c r="F113" s="2" t="s">
        <v>25</v>
      </c>
      <c r="G113" s="2">
        <v>4.0</v>
      </c>
      <c r="H113" s="2">
        <v>50.78</v>
      </c>
      <c r="I113" s="2">
        <v>0.0</v>
      </c>
      <c r="J113" s="2">
        <v>203.11</v>
      </c>
      <c r="K113" s="2">
        <v>68.59</v>
      </c>
    </row>
    <row r="114" ht="15.75" customHeight="1">
      <c r="A114" s="2" t="s">
        <v>205</v>
      </c>
      <c r="B114" s="3">
        <v>45766.0</v>
      </c>
      <c r="C114" s="2" t="s">
        <v>150</v>
      </c>
      <c r="D114" s="2" t="s">
        <v>13</v>
      </c>
      <c r="E114" s="2" t="s">
        <v>37</v>
      </c>
      <c r="F114" s="2" t="s">
        <v>25</v>
      </c>
      <c r="G114" s="2">
        <v>5.0</v>
      </c>
      <c r="H114" s="2">
        <v>35.52</v>
      </c>
      <c r="I114" s="2">
        <v>0.05</v>
      </c>
      <c r="J114" s="2">
        <v>168.74</v>
      </c>
      <c r="K114" s="2">
        <v>37.49</v>
      </c>
    </row>
    <row r="115" ht="15.75" customHeight="1">
      <c r="A115" s="2" t="s">
        <v>206</v>
      </c>
      <c r="B115" s="3">
        <v>45893.0</v>
      </c>
      <c r="C115" s="2" t="s">
        <v>207</v>
      </c>
      <c r="D115" s="2" t="s">
        <v>48</v>
      </c>
      <c r="E115" s="2" t="s">
        <v>39</v>
      </c>
      <c r="F115" s="2" t="s">
        <v>25</v>
      </c>
      <c r="G115" s="2">
        <v>7.0</v>
      </c>
      <c r="H115" s="2">
        <v>40.48</v>
      </c>
      <c r="I115" s="2">
        <v>0.05</v>
      </c>
      <c r="J115" s="2">
        <v>269.18</v>
      </c>
      <c r="K115" s="2">
        <v>70.71</v>
      </c>
    </row>
    <row r="116" ht="15.75" customHeight="1">
      <c r="A116" s="2" t="s">
        <v>208</v>
      </c>
      <c r="B116" s="3">
        <v>45972.0</v>
      </c>
      <c r="C116" s="2" t="s">
        <v>47</v>
      </c>
      <c r="D116" s="2" t="s">
        <v>48</v>
      </c>
      <c r="E116" s="2" t="s">
        <v>37</v>
      </c>
      <c r="F116" s="2" t="s">
        <v>25</v>
      </c>
      <c r="G116" s="2">
        <v>5.0</v>
      </c>
      <c r="H116" s="2">
        <v>34.23</v>
      </c>
      <c r="I116" s="2">
        <v>0.05</v>
      </c>
      <c r="J116" s="2">
        <v>162.61</v>
      </c>
      <c r="K116" s="2">
        <v>43.23</v>
      </c>
    </row>
    <row r="117" ht="15.75" customHeight="1">
      <c r="A117" s="2" t="s">
        <v>209</v>
      </c>
      <c r="B117" s="3">
        <v>45769.0</v>
      </c>
      <c r="C117" s="2" t="s">
        <v>36</v>
      </c>
      <c r="D117" s="2" t="s">
        <v>48</v>
      </c>
      <c r="E117" s="2" t="s">
        <v>53</v>
      </c>
      <c r="F117" s="2" t="s">
        <v>25</v>
      </c>
      <c r="G117" s="2">
        <v>1.0</v>
      </c>
      <c r="H117" s="2">
        <v>52.69</v>
      </c>
      <c r="I117" s="2">
        <v>0.0</v>
      </c>
      <c r="J117" s="2">
        <v>52.69</v>
      </c>
      <c r="K117" s="2">
        <v>18.41</v>
      </c>
    </row>
    <row r="118" ht="15.75" customHeight="1">
      <c r="A118" s="2" t="s">
        <v>210</v>
      </c>
      <c r="B118" s="3">
        <v>45904.0</v>
      </c>
      <c r="C118" s="2" t="s">
        <v>110</v>
      </c>
      <c r="D118" s="2" t="s">
        <v>13</v>
      </c>
      <c r="E118" s="2" t="s">
        <v>56</v>
      </c>
      <c r="F118" s="2" t="s">
        <v>25</v>
      </c>
      <c r="G118" s="2">
        <v>6.0</v>
      </c>
      <c r="H118" s="2">
        <v>46.35</v>
      </c>
      <c r="I118" s="9">
        <v>0.0</v>
      </c>
      <c r="J118" s="2">
        <v>278.1</v>
      </c>
      <c r="K118" s="2">
        <v>55.8</v>
      </c>
    </row>
    <row r="119" ht="15.75" customHeight="1">
      <c r="A119" s="2" t="s">
        <v>211</v>
      </c>
      <c r="B119" s="3">
        <v>45877.0</v>
      </c>
      <c r="C119" s="2" t="s">
        <v>212</v>
      </c>
      <c r="D119" s="2" t="s">
        <v>23</v>
      </c>
      <c r="E119" s="2" t="s">
        <v>14</v>
      </c>
      <c r="F119" s="2" t="s">
        <v>15</v>
      </c>
      <c r="G119" s="2">
        <v>8.0</v>
      </c>
      <c r="H119" s="2">
        <v>216.62</v>
      </c>
      <c r="I119" s="2">
        <v>0.15</v>
      </c>
      <c r="J119" s="2">
        <v>1473.0</v>
      </c>
      <c r="K119" s="2">
        <v>295.6</v>
      </c>
    </row>
    <row r="120" ht="15.75" customHeight="1">
      <c r="A120" s="2" t="s">
        <v>213</v>
      </c>
      <c r="B120" s="3">
        <v>45719.0</v>
      </c>
      <c r="C120" s="2" t="s">
        <v>168</v>
      </c>
      <c r="D120" s="2" t="s">
        <v>48</v>
      </c>
      <c r="E120" s="2" t="s">
        <v>14</v>
      </c>
      <c r="F120" s="2" t="s">
        <v>15</v>
      </c>
      <c r="G120" s="2">
        <v>6.0</v>
      </c>
      <c r="H120" s="2">
        <v>225.96</v>
      </c>
      <c r="I120" s="2">
        <v>0.05</v>
      </c>
      <c r="J120" s="2">
        <v>1287.98</v>
      </c>
      <c r="K120" s="2">
        <v>303.22</v>
      </c>
    </row>
    <row r="121" ht="15.75" customHeight="1">
      <c r="A121" s="2" t="s">
        <v>214</v>
      </c>
      <c r="B121" s="3">
        <v>45983.0</v>
      </c>
      <c r="C121" s="2" t="s">
        <v>135</v>
      </c>
      <c r="D121" s="2" t="s">
        <v>48</v>
      </c>
      <c r="E121" s="2" t="s">
        <v>14</v>
      </c>
      <c r="F121" s="2" t="s">
        <v>15</v>
      </c>
      <c r="G121" s="2">
        <v>3.0</v>
      </c>
      <c r="H121" s="2">
        <v>212.41</v>
      </c>
      <c r="I121" s="2">
        <v>0.0</v>
      </c>
      <c r="J121" s="2">
        <v>637.22</v>
      </c>
      <c r="K121" s="2">
        <v>144.08</v>
      </c>
    </row>
    <row r="122" ht="15.75" customHeight="1">
      <c r="A122" s="2" t="s">
        <v>215</v>
      </c>
      <c r="B122" s="3">
        <v>45658.0</v>
      </c>
      <c r="C122" s="2" t="s">
        <v>135</v>
      </c>
      <c r="D122" s="2" t="s">
        <v>48</v>
      </c>
      <c r="E122" s="2" t="s">
        <v>39</v>
      </c>
      <c r="F122" s="2" t="s">
        <v>25</v>
      </c>
      <c r="G122" s="2">
        <v>3.0</v>
      </c>
      <c r="H122" s="2">
        <v>37.12</v>
      </c>
      <c r="I122" s="2">
        <v>0.1</v>
      </c>
      <c r="J122" s="2">
        <v>100.24</v>
      </c>
      <c r="K122" s="2">
        <v>27.47</v>
      </c>
    </row>
    <row r="123" ht="15.75" customHeight="1">
      <c r="A123" s="2" t="s">
        <v>216</v>
      </c>
      <c r="B123" s="3">
        <v>45916.0</v>
      </c>
      <c r="C123" s="2" t="s">
        <v>22</v>
      </c>
      <c r="D123" s="2" t="s">
        <v>48</v>
      </c>
      <c r="E123" s="2" t="s">
        <v>32</v>
      </c>
      <c r="F123" s="2" t="s">
        <v>33</v>
      </c>
      <c r="G123" s="2">
        <v>6.0</v>
      </c>
      <c r="H123" s="2">
        <v>32.42</v>
      </c>
      <c r="I123" s="2">
        <v>0.0</v>
      </c>
      <c r="J123" s="2">
        <v>194.5</v>
      </c>
      <c r="K123" s="2">
        <v>55.19</v>
      </c>
    </row>
    <row r="124" ht="15.75" customHeight="1">
      <c r="A124" s="2" t="s">
        <v>217</v>
      </c>
      <c r="B124" s="3">
        <v>45670.0</v>
      </c>
      <c r="C124" s="2" t="s">
        <v>114</v>
      </c>
      <c r="D124" s="2" t="s">
        <v>48</v>
      </c>
      <c r="E124" s="4" t="s">
        <v>24</v>
      </c>
      <c r="F124" s="2" t="s">
        <v>25</v>
      </c>
      <c r="G124" s="2">
        <v>8.0</v>
      </c>
      <c r="H124" s="2">
        <v>20.71</v>
      </c>
      <c r="I124" s="2">
        <v>0.0</v>
      </c>
      <c r="J124" s="2">
        <v>165.71</v>
      </c>
      <c r="K124" s="2">
        <v>30.16</v>
      </c>
    </row>
    <row r="125" ht="15.75" customHeight="1">
      <c r="A125" s="2" t="s">
        <v>218</v>
      </c>
      <c r="B125" s="3">
        <v>45695.0</v>
      </c>
      <c r="C125" s="2" t="s">
        <v>219</v>
      </c>
      <c r="D125" s="2" t="s">
        <v>13</v>
      </c>
      <c r="E125" s="2" t="s">
        <v>39</v>
      </c>
      <c r="F125" s="2" t="s">
        <v>25</v>
      </c>
      <c r="G125" s="2">
        <v>1.0</v>
      </c>
      <c r="H125" s="2">
        <v>36.75</v>
      </c>
      <c r="I125" s="2">
        <v>0.0</v>
      </c>
      <c r="J125" s="2">
        <v>36.75</v>
      </c>
      <c r="K125" s="2">
        <v>13.11</v>
      </c>
    </row>
    <row r="126" ht="15.75" customHeight="1">
      <c r="A126" s="2" t="s">
        <v>220</v>
      </c>
      <c r="B126" s="3">
        <v>45991.0</v>
      </c>
      <c r="C126" s="2" t="s">
        <v>108</v>
      </c>
      <c r="D126" s="2" t="s">
        <v>23</v>
      </c>
      <c r="E126" s="2" t="s">
        <v>72</v>
      </c>
      <c r="F126" s="2" t="s">
        <v>73</v>
      </c>
      <c r="G126" s="2">
        <v>7.0</v>
      </c>
      <c r="H126" s="2">
        <v>69.47</v>
      </c>
      <c r="I126" s="2">
        <v>0.1</v>
      </c>
      <c r="J126" s="2">
        <v>437.64</v>
      </c>
      <c r="K126" s="2">
        <v>81.84</v>
      </c>
    </row>
    <row r="127" ht="15.75" customHeight="1">
      <c r="A127" s="2" t="s">
        <v>221</v>
      </c>
      <c r="B127" s="3">
        <v>45977.0</v>
      </c>
      <c r="C127" s="2" t="s">
        <v>18</v>
      </c>
      <c r="D127" s="2" t="s">
        <v>23</v>
      </c>
      <c r="E127" s="2" t="s">
        <v>56</v>
      </c>
      <c r="F127" s="2" t="s">
        <v>25</v>
      </c>
      <c r="G127" s="2">
        <v>1.0</v>
      </c>
      <c r="H127" s="2">
        <v>45.73</v>
      </c>
      <c r="I127" s="2">
        <v>0.05</v>
      </c>
      <c r="J127" s="2">
        <v>43.45</v>
      </c>
      <c r="K127" s="2">
        <v>8.46</v>
      </c>
    </row>
    <row r="128" ht="15.75" customHeight="1">
      <c r="A128" s="2" t="s">
        <v>222</v>
      </c>
      <c r="B128" s="3">
        <v>45943.0</v>
      </c>
      <c r="C128" s="2" t="s">
        <v>116</v>
      </c>
      <c r="D128" s="2" t="s">
        <v>19</v>
      </c>
      <c r="E128" s="2" t="s">
        <v>32</v>
      </c>
      <c r="F128" s="2" t="s">
        <v>33</v>
      </c>
      <c r="G128" s="2">
        <v>5.0</v>
      </c>
      <c r="H128" s="2">
        <v>30.16</v>
      </c>
      <c r="I128" s="2">
        <v>0.1</v>
      </c>
      <c r="J128" s="2">
        <v>135.7</v>
      </c>
      <c r="K128" s="2">
        <v>46.09</v>
      </c>
    </row>
    <row r="129" ht="15.75" customHeight="1">
      <c r="A129" s="2" t="s">
        <v>223</v>
      </c>
      <c r="B129" s="3">
        <v>45746.0</v>
      </c>
      <c r="C129" s="2" t="s">
        <v>47</v>
      </c>
      <c r="D129" s="2" t="s">
        <v>48</v>
      </c>
      <c r="E129" s="2" t="s">
        <v>53</v>
      </c>
      <c r="F129" s="2" t="s">
        <v>25</v>
      </c>
      <c r="G129" s="2">
        <v>5.0</v>
      </c>
      <c r="H129" s="2">
        <v>52.67</v>
      </c>
      <c r="I129" s="2">
        <v>0.05</v>
      </c>
      <c r="J129" s="2">
        <v>250.2</v>
      </c>
      <c r="K129" s="2">
        <v>49.65</v>
      </c>
    </row>
    <row r="130" ht="15.75" customHeight="1">
      <c r="A130" s="2" t="s">
        <v>224</v>
      </c>
      <c r="B130" s="3">
        <v>45836.0</v>
      </c>
      <c r="C130" s="2" t="s">
        <v>225</v>
      </c>
      <c r="D130" s="2" t="s">
        <v>19</v>
      </c>
      <c r="E130" s="2" t="s">
        <v>37</v>
      </c>
      <c r="F130" s="2" t="s">
        <v>25</v>
      </c>
      <c r="G130" s="2">
        <v>2.0</v>
      </c>
      <c r="H130" s="2">
        <v>36.77</v>
      </c>
      <c r="I130" s="2">
        <v>0.05</v>
      </c>
      <c r="J130" s="2">
        <v>69.87</v>
      </c>
      <c r="K130" s="2">
        <v>21.28</v>
      </c>
    </row>
    <row r="131" ht="15.75" customHeight="1">
      <c r="A131" s="2" t="s">
        <v>226</v>
      </c>
      <c r="B131" s="3">
        <v>45966.0</v>
      </c>
      <c r="C131" s="2" t="s">
        <v>114</v>
      </c>
      <c r="D131" s="2" t="s">
        <v>23</v>
      </c>
      <c r="E131" s="2" t="s">
        <v>14</v>
      </c>
      <c r="F131" s="2" t="s">
        <v>15</v>
      </c>
      <c r="G131" s="2">
        <v>7.0</v>
      </c>
      <c r="H131" s="2">
        <v>210.09</v>
      </c>
      <c r="I131" s="2">
        <v>0.0</v>
      </c>
      <c r="J131" s="2">
        <v>1470.64</v>
      </c>
      <c r="K131" s="2">
        <v>294.25</v>
      </c>
    </row>
    <row r="132" ht="15.75" customHeight="1">
      <c r="A132" s="2" t="s">
        <v>227</v>
      </c>
      <c r="B132" s="3">
        <v>45699.0</v>
      </c>
      <c r="C132" s="2" t="s">
        <v>31</v>
      </c>
      <c r="D132" s="2" t="s">
        <v>13</v>
      </c>
      <c r="E132" s="2" t="s">
        <v>56</v>
      </c>
      <c r="F132" s="2" t="s">
        <v>25</v>
      </c>
      <c r="G132" s="2">
        <v>7.0</v>
      </c>
      <c r="H132" s="2">
        <v>45.06</v>
      </c>
      <c r="I132" s="2">
        <v>0.15</v>
      </c>
      <c r="J132" s="2">
        <v>268.09</v>
      </c>
      <c r="K132" s="2">
        <v>68.22</v>
      </c>
    </row>
    <row r="133" ht="15.75" customHeight="1">
      <c r="A133" s="2" t="s">
        <v>228</v>
      </c>
      <c r="B133" s="3">
        <v>45814.0</v>
      </c>
      <c r="C133" s="2" t="s">
        <v>225</v>
      </c>
      <c r="D133" s="2" t="s">
        <v>19</v>
      </c>
      <c r="E133" s="2" t="s">
        <v>14</v>
      </c>
      <c r="F133" s="2" t="s">
        <v>15</v>
      </c>
      <c r="G133" s="2">
        <v>5.0</v>
      </c>
      <c r="H133" s="2">
        <v>209.85</v>
      </c>
      <c r="I133" s="2">
        <v>0.1</v>
      </c>
      <c r="J133" s="2">
        <v>944.31</v>
      </c>
      <c r="K133" s="2">
        <v>250.59</v>
      </c>
    </row>
    <row r="134" ht="15.75" customHeight="1">
      <c r="A134" s="2" t="s">
        <v>229</v>
      </c>
      <c r="B134" s="3">
        <v>45743.0</v>
      </c>
      <c r="C134" s="2" t="s">
        <v>83</v>
      </c>
      <c r="D134" s="2" t="s">
        <v>48</v>
      </c>
      <c r="E134" s="2" t="s">
        <v>37</v>
      </c>
      <c r="F134" s="2" t="s">
        <v>25</v>
      </c>
      <c r="G134" s="2">
        <v>5.0</v>
      </c>
      <c r="H134" s="2">
        <v>33.59</v>
      </c>
      <c r="I134" s="2">
        <v>0.1</v>
      </c>
      <c r="J134" s="2">
        <v>151.16</v>
      </c>
      <c r="K134" s="2">
        <v>56.43</v>
      </c>
    </row>
    <row r="135" ht="15.75" customHeight="1">
      <c r="A135" s="2" t="s">
        <v>230</v>
      </c>
      <c r="B135" s="3">
        <v>45960.0</v>
      </c>
      <c r="C135" s="2" t="s">
        <v>41</v>
      </c>
      <c r="D135" s="2" t="s">
        <v>19</v>
      </c>
      <c r="E135" s="2" t="s">
        <v>53</v>
      </c>
      <c r="F135" s="2" t="s">
        <v>25</v>
      </c>
      <c r="G135" s="2">
        <v>3.0</v>
      </c>
      <c r="H135" s="2">
        <v>57.24</v>
      </c>
      <c r="I135" s="2">
        <v>0.0</v>
      </c>
      <c r="J135" s="2">
        <v>171.72</v>
      </c>
      <c r="K135" s="2">
        <v>46.83</v>
      </c>
    </row>
    <row r="136" ht="15.75" customHeight="1">
      <c r="A136" s="2" t="s">
        <v>231</v>
      </c>
      <c r="B136" s="3">
        <v>45704.0</v>
      </c>
      <c r="C136" s="2" t="s">
        <v>36</v>
      </c>
      <c r="D136" s="2" t="s">
        <v>23</v>
      </c>
      <c r="E136" s="2" t="s">
        <v>32</v>
      </c>
      <c r="F136" s="2" t="s">
        <v>33</v>
      </c>
      <c r="G136" s="2">
        <v>4.0</v>
      </c>
      <c r="H136" s="2">
        <v>31.47</v>
      </c>
      <c r="I136" s="2">
        <v>0.1</v>
      </c>
      <c r="J136" s="2">
        <v>113.31</v>
      </c>
      <c r="K136" s="2">
        <v>39.66</v>
      </c>
    </row>
    <row r="137" ht="15.75" customHeight="1">
      <c r="A137" s="2" t="s">
        <v>232</v>
      </c>
      <c r="B137" s="3">
        <v>45939.0</v>
      </c>
      <c r="C137" s="2" t="s">
        <v>142</v>
      </c>
      <c r="D137" s="2" t="s">
        <v>13</v>
      </c>
      <c r="E137" s="2" t="s">
        <v>53</v>
      </c>
      <c r="F137" s="2" t="s">
        <v>25</v>
      </c>
      <c r="G137" s="2">
        <v>2.0</v>
      </c>
      <c r="H137" s="2">
        <v>50.71</v>
      </c>
      <c r="I137" s="2">
        <v>0.05</v>
      </c>
      <c r="J137" s="2">
        <v>96.34</v>
      </c>
      <c r="K137" s="2">
        <v>25.71</v>
      </c>
    </row>
    <row r="138" ht="15.75" customHeight="1">
      <c r="A138" s="2" t="s">
        <v>233</v>
      </c>
      <c r="B138" s="3">
        <v>45857.0</v>
      </c>
      <c r="C138" s="2" t="s">
        <v>234</v>
      </c>
      <c r="D138" s="2" t="s">
        <v>13</v>
      </c>
      <c r="E138" s="2" t="s">
        <v>53</v>
      </c>
      <c r="F138" s="2" t="s">
        <v>25</v>
      </c>
      <c r="G138" s="2">
        <v>4.0</v>
      </c>
      <c r="H138" s="2">
        <v>52.2</v>
      </c>
      <c r="I138" s="2">
        <v>0.1</v>
      </c>
      <c r="J138" s="2">
        <v>187.91</v>
      </c>
      <c r="K138" s="2">
        <v>49.48</v>
      </c>
    </row>
    <row r="139" ht="15.75" customHeight="1">
      <c r="A139" s="2" t="s">
        <v>235</v>
      </c>
      <c r="B139" s="3">
        <v>45867.0</v>
      </c>
      <c r="C139" s="2" t="s">
        <v>203</v>
      </c>
      <c r="D139" s="2" t="s">
        <v>19</v>
      </c>
      <c r="E139" s="4" t="s">
        <v>24</v>
      </c>
      <c r="F139" s="2" t="s">
        <v>25</v>
      </c>
      <c r="G139" s="2">
        <v>6.0</v>
      </c>
      <c r="H139" s="2">
        <v>22.4</v>
      </c>
      <c r="I139" s="2">
        <v>0.1</v>
      </c>
      <c r="J139" s="2">
        <v>120.98</v>
      </c>
      <c r="K139" s="2">
        <v>42.61</v>
      </c>
    </row>
    <row r="140" ht="15.75" customHeight="1">
      <c r="A140" s="2" t="s">
        <v>236</v>
      </c>
      <c r="B140" s="3">
        <v>45981.0</v>
      </c>
      <c r="C140" s="2" t="s">
        <v>133</v>
      </c>
      <c r="D140" s="2" t="s">
        <v>23</v>
      </c>
      <c r="E140" s="2" t="s">
        <v>14</v>
      </c>
      <c r="F140" s="2" t="s">
        <v>15</v>
      </c>
      <c r="G140" s="2">
        <v>8.0</v>
      </c>
      <c r="H140" s="2">
        <v>222.5</v>
      </c>
      <c r="I140" s="2">
        <v>0.15</v>
      </c>
      <c r="J140" s="2">
        <v>1513.02</v>
      </c>
      <c r="K140" s="2">
        <v>403.94</v>
      </c>
    </row>
    <row r="141" ht="15.75" customHeight="1">
      <c r="A141" s="2" t="s">
        <v>237</v>
      </c>
      <c r="B141" s="3">
        <v>45708.0</v>
      </c>
      <c r="C141" s="2" t="s">
        <v>43</v>
      </c>
      <c r="D141" s="2" t="s">
        <v>48</v>
      </c>
      <c r="E141" s="2" t="s">
        <v>53</v>
      </c>
      <c r="F141" s="2" t="s">
        <v>25</v>
      </c>
      <c r="G141" s="2">
        <v>8.0</v>
      </c>
      <c r="H141" s="2">
        <v>56.33</v>
      </c>
      <c r="I141" s="2">
        <v>0.1</v>
      </c>
      <c r="J141" s="2">
        <v>405.59</v>
      </c>
      <c r="K141" s="2">
        <v>123.75</v>
      </c>
    </row>
    <row r="142" ht="15.75" customHeight="1">
      <c r="A142" s="2" t="s">
        <v>238</v>
      </c>
      <c r="B142" s="3">
        <v>46003.0</v>
      </c>
      <c r="C142" s="2" t="s">
        <v>239</v>
      </c>
      <c r="D142" s="2" t="s">
        <v>23</v>
      </c>
      <c r="E142" s="2" t="s">
        <v>32</v>
      </c>
      <c r="F142" s="2" t="s">
        <v>33</v>
      </c>
      <c r="G142" s="2">
        <v>1.0</v>
      </c>
      <c r="H142" s="2">
        <v>34.18</v>
      </c>
      <c r="I142" s="2">
        <v>0.05</v>
      </c>
      <c r="J142" s="2">
        <v>32.47</v>
      </c>
      <c r="K142" s="2">
        <v>11.6</v>
      </c>
    </row>
    <row r="143" ht="15.75" customHeight="1">
      <c r="A143" s="2" t="s">
        <v>240</v>
      </c>
      <c r="B143" s="3">
        <v>45806.0</v>
      </c>
      <c r="C143" s="2" t="s">
        <v>179</v>
      </c>
      <c r="D143" s="2" t="s">
        <v>19</v>
      </c>
      <c r="E143" s="2" t="s">
        <v>72</v>
      </c>
      <c r="F143" s="2" t="s">
        <v>73</v>
      </c>
      <c r="G143" s="2">
        <v>7.0</v>
      </c>
      <c r="H143" s="2">
        <v>69.38</v>
      </c>
      <c r="I143" s="2">
        <v>0.1</v>
      </c>
      <c r="J143" s="2">
        <v>437.07</v>
      </c>
      <c r="K143" s="2">
        <v>120.73</v>
      </c>
    </row>
    <row r="144" ht="15.75" customHeight="1">
      <c r="A144" s="2" t="s">
        <v>242</v>
      </c>
      <c r="B144" s="3">
        <v>46004.0</v>
      </c>
      <c r="C144" s="2" t="s">
        <v>243</v>
      </c>
      <c r="D144" s="2" t="s">
        <v>23</v>
      </c>
      <c r="E144" s="4" t="s">
        <v>24</v>
      </c>
      <c r="F144" s="2" t="s">
        <v>25</v>
      </c>
      <c r="G144" s="2">
        <v>3.0</v>
      </c>
      <c r="H144" s="2">
        <v>23.49</v>
      </c>
      <c r="I144" s="2">
        <v>0.05</v>
      </c>
      <c r="J144" s="2">
        <v>66.94</v>
      </c>
      <c r="K144" s="2">
        <v>19.0</v>
      </c>
    </row>
    <row r="145" ht="15.75" customHeight="1">
      <c r="A145" s="2" t="s">
        <v>244</v>
      </c>
      <c r="B145" s="3">
        <v>45837.0</v>
      </c>
      <c r="C145" s="2" t="s">
        <v>75</v>
      </c>
      <c r="D145" s="2" t="s">
        <v>19</v>
      </c>
      <c r="E145" s="2" t="s">
        <v>56</v>
      </c>
      <c r="F145" s="2" t="s">
        <v>25</v>
      </c>
      <c r="G145" s="2">
        <v>3.0</v>
      </c>
      <c r="H145" s="2">
        <v>47.63</v>
      </c>
      <c r="I145" s="2">
        <v>0.0</v>
      </c>
      <c r="J145" s="2">
        <v>142.9</v>
      </c>
      <c r="K145" s="2">
        <v>49.26</v>
      </c>
    </row>
    <row r="146" ht="15.75" customHeight="1">
      <c r="A146" s="2" t="s">
        <v>245</v>
      </c>
      <c r="B146" s="3">
        <v>45813.0</v>
      </c>
      <c r="C146" s="2" t="s">
        <v>177</v>
      </c>
      <c r="D146" s="2" t="s">
        <v>19</v>
      </c>
      <c r="E146" s="2" t="s">
        <v>32</v>
      </c>
      <c r="F146" s="2" t="s">
        <v>33</v>
      </c>
      <c r="G146" s="2">
        <v>1.0</v>
      </c>
      <c r="H146" s="2">
        <v>31.3</v>
      </c>
      <c r="I146" s="2">
        <v>0.05</v>
      </c>
      <c r="J146" s="2">
        <v>29.73</v>
      </c>
      <c r="K146" s="2">
        <v>7.54</v>
      </c>
    </row>
    <row r="147" ht="15.75" customHeight="1">
      <c r="A147" s="2" t="s">
        <v>246</v>
      </c>
      <c r="B147" s="3">
        <v>45999.0</v>
      </c>
      <c r="C147" s="2" t="s">
        <v>28</v>
      </c>
      <c r="D147" s="2" t="s">
        <v>13</v>
      </c>
      <c r="E147" s="2" t="s">
        <v>37</v>
      </c>
      <c r="F147" s="2" t="s">
        <v>25</v>
      </c>
      <c r="G147" s="2">
        <v>7.0</v>
      </c>
      <c r="H147" s="2">
        <v>37.66</v>
      </c>
      <c r="I147" s="2">
        <v>0.05</v>
      </c>
      <c r="J147" s="2">
        <v>250.46</v>
      </c>
      <c r="K147" s="2">
        <v>67.26</v>
      </c>
    </row>
    <row r="148" ht="15.75" customHeight="1">
      <c r="A148" s="2" t="s">
        <v>247</v>
      </c>
      <c r="B148" s="3">
        <v>45872.0</v>
      </c>
      <c r="C148" s="2" t="s">
        <v>104</v>
      </c>
      <c r="D148" s="2" t="s">
        <v>13</v>
      </c>
      <c r="E148" s="2" t="s">
        <v>53</v>
      </c>
      <c r="F148" s="2" t="s">
        <v>25</v>
      </c>
      <c r="G148" s="2">
        <v>8.0</v>
      </c>
      <c r="H148" s="2">
        <v>55.02</v>
      </c>
      <c r="I148" s="2">
        <v>0.05</v>
      </c>
      <c r="J148" s="2">
        <v>418.15</v>
      </c>
      <c r="K148" s="2">
        <v>153.29</v>
      </c>
    </row>
    <row r="149" ht="15.75" customHeight="1">
      <c r="A149" s="2" t="s">
        <v>248</v>
      </c>
      <c r="B149" s="3">
        <v>45943.0</v>
      </c>
      <c r="C149" s="2" t="s">
        <v>87</v>
      </c>
      <c r="D149" s="2" t="s">
        <v>23</v>
      </c>
      <c r="E149" s="2" t="s">
        <v>32</v>
      </c>
      <c r="F149" s="2" t="s">
        <v>33</v>
      </c>
      <c r="G149" s="2">
        <v>3.0</v>
      </c>
      <c r="H149" s="2">
        <v>31.23</v>
      </c>
      <c r="I149" s="2">
        <v>0.05</v>
      </c>
      <c r="J149" s="2">
        <v>89.0</v>
      </c>
      <c r="K149" s="2">
        <v>22.7</v>
      </c>
    </row>
    <row r="150" ht="15.75" customHeight="1">
      <c r="A150" s="2" t="s">
        <v>249</v>
      </c>
      <c r="B150" s="3">
        <v>45770.0</v>
      </c>
      <c r="C150" s="2" t="s">
        <v>177</v>
      </c>
      <c r="D150" s="2" t="s">
        <v>48</v>
      </c>
      <c r="E150" s="2" t="s">
        <v>56</v>
      </c>
      <c r="F150" s="2" t="s">
        <v>25</v>
      </c>
      <c r="G150" s="2">
        <v>2.0</v>
      </c>
      <c r="H150" s="2">
        <v>46.42</v>
      </c>
      <c r="I150" s="2">
        <v>0.1</v>
      </c>
      <c r="J150" s="2">
        <v>83.55</v>
      </c>
      <c r="K150" s="2">
        <v>22.93</v>
      </c>
    </row>
    <row r="151" ht="15.75" customHeight="1">
      <c r="A151" s="2" t="s">
        <v>250</v>
      </c>
      <c r="B151" s="3">
        <v>46016.0</v>
      </c>
      <c r="C151" s="2" t="s">
        <v>110</v>
      </c>
      <c r="D151" s="2" t="s">
        <v>23</v>
      </c>
      <c r="E151" s="2" t="s">
        <v>72</v>
      </c>
      <c r="F151" s="2" t="s">
        <v>73</v>
      </c>
      <c r="G151" s="2">
        <v>3.0</v>
      </c>
      <c r="H151" s="2">
        <v>61.41</v>
      </c>
      <c r="I151" s="2">
        <v>0.0</v>
      </c>
      <c r="J151" s="2">
        <v>184.24</v>
      </c>
      <c r="K151" s="2">
        <v>38.26</v>
      </c>
    </row>
    <row r="152" ht="15.75" customHeight="1">
      <c r="A152" s="2" t="s">
        <v>251</v>
      </c>
      <c r="B152" s="3">
        <v>45712.0</v>
      </c>
      <c r="C152" s="2" t="s">
        <v>28</v>
      </c>
      <c r="D152" s="2" t="s">
        <v>23</v>
      </c>
      <c r="E152" s="4" t="s">
        <v>24</v>
      </c>
      <c r="F152" s="2" t="s">
        <v>25</v>
      </c>
      <c r="G152" s="2">
        <v>2.0</v>
      </c>
      <c r="H152" s="2">
        <v>23.4</v>
      </c>
      <c r="I152" s="2">
        <v>0.05</v>
      </c>
      <c r="J152" s="2">
        <v>44.46</v>
      </c>
      <c r="K152" s="2">
        <v>9.77</v>
      </c>
    </row>
    <row r="153" ht="15.75" customHeight="1">
      <c r="A153" s="2" t="s">
        <v>252</v>
      </c>
      <c r="B153" s="3">
        <v>45912.0</v>
      </c>
      <c r="C153" s="2" t="s">
        <v>185</v>
      </c>
      <c r="D153" s="2" t="s">
        <v>48</v>
      </c>
      <c r="E153" s="4" t="s">
        <v>24</v>
      </c>
      <c r="F153" s="2" t="s">
        <v>25</v>
      </c>
      <c r="G153" s="2">
        <v>7.0</v>
      </c>
      <c r="H153" s="2">
        <v>22.56</v>
      </c>
      <c r="I153" s="2">
        <v>0.0</v>
      </c>
      <c r="J153" s="2">
        <v>157.92</v>
      </c>
      <c r="K153" s="2">
        <v>53.0</v>
      </c>
    </row>
    <row r="154" ht="15.75" customHeight="1">
      <c r="A154" s="2" t="s">
        <v>253</v>
      </c>
      <c r="B154" s="3">
        <v>45921.0</v>
      </c>
      <c r="C154" s="2" t="s">
        <v>192</v>
      </c>
      <c r="D154" s="2" t="s">
        <v>13</v>
      </c>
      <c r="E154" s="2" t="s">
        <v>37</v>
      </c>
      <c r="F154" s="2" t="s">
        <v>25</v>
      </c>
      <c r="G154" s="2">
        <v>7.0</v>
      </c>
      <c r="H154" s="2">
        <v>35.39</v>
      </c>
      <c r="I154" s="2">
        <v>0.1</v>
      </c>
      <c r="J154" s="2">
        <v>222.95</v>
      </c>
      <c r="K154" s="2">
        <v>59.9</v>
      </c>
    </row>
    <row r="155" ht="15.75" customHeight="1">
      <c r="A155" s="2" t="s">
        <v>254</v>
      </c>
      <c r="B155" s="3">
        <v>45822.0</v>
      </c>
      <c r="C155" s="2" t="s">
        <v>100</v>
      </c>
      <c r="D155" s="2" t="s">
        <v>19</v>
      </c>
      <c r="E155" s="2" t="s">
        <v>32</v>
      </c>
      <c r="F155" s="2" t="s">
        <v>33</v>
      </c>
      <c r="G155" s="2">
        <v>8.0</v>
      </c>
      <c r="H155" s="2">
        <v>33.14</v>
      </c>
      <c r="I155" s="2">
        <v>0.1</v>
      </c>
      <c r="J155" s="2">
        <v>238.59</v>
      </c>
      <c r="K155" s="2">
        <v>51.05</v>
      </c>
    </row>
    <row r="156" ht="15.75" customHeight="1">
      <c r="A156" s="2" t="s">
        <v>255</v>
      </c>
      <c r="B156" s="3">
        <v>45818.0</v>
      </c>
      <c r="C156" s="2" t="s">
        <v>234</v>
      </c>
      <c r="D156" s="2" t="s">
        <v>19</v>
      </c>
      <c r="E156" s="2" t="s">
        <v>72</v>
      </c>
      <c r="F156" s="2" t="s">
        <v>73</v>
      </c>
      <c r="G156" s="2">
        <v>7.0</v>
      </c>
      <c r="H156" s="2">
        <v>63.17</v>
      </c>
      <c r="I156" s="2">
        <v>0.0</v>
      </c>
      <c r="J156" s="2">
        <v>442.19</v>
      </c>
      <c r="K156" s="2">
        <v>112.03</v>
      </c>
    </row>
    <row r="157" ht="15.75" customHeight="1">
      <c r="A157" s="2" t="s">
        <v>256</v>
      </c>
      <c r="B157" s="3">
        <v>45659.0</v>
      </c>
      <c r="C157" s="2" t="s">
        <v>61</v>
      </c>
      <c r="D157" s="2" t="s">
        <v>13</v>
      </c>
      <c r="E157" s="2" t="s">
        <v>56</v>
      </c>
      <c r="F157" s="2" t="s">
        <v>25</v>
      </c>
      <c r="G157" s="2">
        <v>8.0</v>
      </c>
      <c r="H157" s="2">
        <v>45.55</v>
      </c>
      <c r="I157" s="2">
        <v>0.05</v>
      </c>
      <c r="J157" s="2">
        <v>346.21</v>
      </c>
      <c r="K157" s="2">
        <v>102.38</v>
      </c>
    </row>
    <row r="158" ht="15.75" customHeight="1">
      <c r="A158" s="2" t="s">
        <v>257</v>
      </c>
      <c r="B158" s="3">
        <v>45776.0</v>
      </c>
      <c r="C158" s="2" t="s">
        <v>79</v>
      </c>
      <c r="D158" s="2" t="s">
        <v>23</v>
      </c>
      <c r="E158" s="2" t="s">
        <v>53</v>
      </c>
      <c r="F158" s="2" t="s">
        <v>25</v>
      </c>
      <c r="G158" s="2">
        <v>4.0</v>
      </c>
      <c r="H158" s="2">
        <v>53.56</v>
      </c>
      <c r="I158" s="2">
        <v>0.1</v>
      </c>
      <c r="J158" s="2">
        <v>192.8</v>
      </c>
      <c r="K158" s="2">
        <v>59.26</v>
      </c>
    </row>
    <row r="159" ht="15.75" customHeight="1">
      <c r="A159" s="2" t="s">
        <v>258</v>
      </c>
      <c r="B159" s="3">
        <v>46012.0</v>
      </c>
      <c r="C159" s="2" t="s">
        <v>31</v>
      </c>
      <c r="D159" s="2" t="s">
        <v>48</v>
      </c>
      <c r="E159" s="2" t="s">
        <v>53</v>
      </c>
      <c r="F159" s="2" t="s">
        <v>25</v>
      </c>
      <c r="G159" s="2">
        <v>5.0</v>
      </c>
      <c r="H159" s="2">
        <v>54.2</v>
      </c>
      <c r="I159" s="2">
        <v>0.05</v>
      </c>
      <c r="J159" s="2">
        <v>257.46</v>
      </c>
      <c r="K159" s="2">
        <v>75.38</v>
      </c>
    </row>
    <row r="160" ht="15.75" customHeight="1">
      <c r="A160" s="2" t="s">
        <v>259</v>
      </c>
      <c r="B160" s="3">
        <v>45872.0</v>
      </c>
      <c r="C160" s="2" t="s">
        <v>66</v>
      </c>
      <c r="D160" s="2" t="s">
        <v>19</v>
      </c>
      <c r="E160" s="2" t="s">
        <v>72</v>
      </c>
      <c r="F160" s="2" t="s">
        <v>73</v>
      </c>
      <c r="G160" s="2">
        <v>4.0</v>
      </c>
      <c r="H160" s="2">
        <v>61.26</v>
      </c>
      <c r="I160" s="2">
        <v>0.1</v>
      </c>
      <c r="J160" s="2">
        <v>220.53</v>
      </c>
      <c r="K160" s="2">
        <v>62.3</v>
      </c>
    </row>
    <row r="161" ht="15.75" customHeight="1">
      <c r="A161" s="2" t="s">
        <v>260</v>
      </c>
      <c r="B161" s="3">
        <v>45938.0</v>
      </c>
      <c r="C161" s="2" t="s">
        <v>261</v>
      </c>
      <c r="D161" s="2" t="s">
        <v>19</v>
      </c>
      <c r="E161" s="4" t="s">
        <v>24</v>
      </c>
      <c r="F161" s="2" t="s">
        <v>25</v>
      </c>
      <c r="G161" s="2">
        <v>3.0</v>
      </c>
      <c r="H161" s="2">
        <v>22.04</v>
      </c>
      <c r="I161" s="2">
        <v>0.1</v>
      </c>
      <c r="J161" s="2">
        <v>59.52</v>
      </c>
      <c r="K161" s="2">
        <v>14.3</v>
      </c>
    </row>
    <row r="162" ht="15.75" customHeight="1">
      <c r="A162" s="2" t="s">
        <v>263</v>
      </c>
      <c r="B162" s="3">
        <v>45766.0</v>
      </c>
      <c r="C162" s="2" t="s">
        <v>192</v>
      </c>
      <c r="D162" s="2" t="s">
        <v>13</v>
      </c>
      <c r="E162" s="2" t="s">
        <v>72</v>
      </c>
      <c r="F162" s="2" t="s">
        <v>73</v>
      </c>
      <c r="G162" s="2">
        <v>6.0</v>
      </c>
      <c r="H162" s="2">
        <v>68.48</v>
      </c>
      <c r="I162" s="2">
        <v>0.15</v>
      </c>
      <c r="J162" s="2">
        <v>349.26</v>
      </c>
      <c r="K162" s="2">
        <v>96.0</v>
      </c>
    </row>
    <row r="163" ht="15.75" customHeight="1">
      <c r="A163" s="2" t="s">
        <v>264</v>
      </c>
      <c r="B163" s="3">
        <v>45698.0</v>
      </c>
      <c r="C163" s="2" t="s">
        <v>225</v>
      </c>
      <c r="D163" s="2" t="s">
        <v>48</v>
      </c>
      <c r="E163" s="2" t="s">
        <v>53</v>
      </c>
      <c r="F163" s="2" t="s">
        <v>25</v>
      </c>
      <c r="G163" s="2">
        <v>3.0</v>
      </c>
      <c r="H163" s="2">
        <v>57.84</v>
      </c>
      <c r="I163" s="2">
        <v>0.05</v>
      </c>
      <c r="J163" s="2">
        <v>164.84</v>
      </c>
      <c r="K163" s="2">
        <v>35.77</v>
      </c>
    </row>
    <row r="164" ht="15.75" customHeight="1">
      <c r="A164" s="2" t="s">
        <v>265</v>
      </c>
      <c r="B164" s="3">
        <v>46019.0</v>
      </c>
      <c r="C164" s="2" t="s">
        <v>18</v>
      </c>
      <c r="D164" s="2" t="s">
        <v>19</v>
      </c>
      <c r="E164" s="2" t="s">
        <v>37</v>
      </c>
      <c r="F164" s="2" t="s">
        <v>25</v>
      </c>
      <c r="G164" s="2">
        <v>5.0</v>
      </c>
      <c r="H164" s="2">
        <v>35.85</v>
      </c>
      <c r="I164" s="2">
        <v>0.1</v>
      </c>
      <c r="J164" s="2">
        <v>161.32</v>
      </c>
      <c r="K164" s="2">
        <v>54.64</v>
      </c>
    </row>
    <row r="165" ht="15.75" customHeight="1">
      <c r="A165" s="2" t="s">
        <v>267</v>
      </c>
      <c r="B165" s="3">
        <v>45894.0</v>
      </c>
      <c r="C165" s="2" t="s">
        <v>168</v>
      </c>
      <c r="D165" s="2" t="s">
        <v>19</v>
      </c>
      <c r="E165" s="2" t="s">
        <v>56</v>
      </c>
      <c r="F165" s="2" t="s">
        <v>25</v>
      </c>
      <c r="G165" s="2">
        <v>1.0</v>
      </c>
      <c r="H165" s="2">
        <v>46.21</v>
      </c>
      <c r="I165" s="2">
        <v>0.1</v>
      </c>
      <c r="J165" s="2">
        <v>41.59</v>
      </c>
      <c r="K165" s="2">
        <v>13.72</v>
      </c>
    </row>
    <row r="166" ht="15.75" customHeight="1">
      <c r="A166" s="2" t="s">
        <v>271</v>
      </c>
      <c r="B166" s="3">
        <v>45939.0</v>
      </c>
      <c r="C166" s="2" t="s">
        <v>43</v>
      </c>
      <c r="D166" s="2" t="s">
        <v>19</v>
      </c>
      <c r="E166" s="4" t="s">
        <v>24</v>
      </c>
      <c r="F166" s="2" t="s">
        <v>25</v>
      </c>
      <c r="G166" s="2">
        <v>4.0</v>
      </c>
      <c r="H166" s="2">
        <v>23.61</v>
      </c>
      <c r="I166" s="2">
        <v>0.0</v>
      </c>
      <c r="J166" s="2">
        <v>94.46</v>
      </c>
      <c r="K166" s="2">
        <v>34.19</v>
      </c>
    </row>
    <row r="167" ht="15.75" customHeight="1">
      <c r="A167" s="2" t="s">
        <v>272</v>
      </c>
      <c r="B167" s="3">
        <v>45889.0</v>
      </c>
      <c r="C167" s="2" t="s">
        <v>116</v>
      </c>
      <c r="D167" s="2" t="s">
        <v>48</v>
      </c>
      <c r="E167" s="2" t="s">
        <v>56</v>
      </c>
      <c r="F167" s="2" t="s">
        <v>25</v>
      </c>
      <c r="G167" s="2">
        <v>8.0</v>
      </c>
      <c r="H167" s="2">
        <v>47.52</v>
      </c>
      <c r="I167" s="2">
        <v>0.1</v>
      </c>
      <c r="J167" s="2">
        <v>342.13</v>
      </c>
      <c r="K167" s="2">
        <v>80.64</v>
      </c>
    </row>
    <row r="168" ht="15.75" customHeight="1">
      <c r="A168" s="2" t="s">
        <v>273</v>
      </c>
      <c r="B168" s="3">
        <v>45946.0</v>
      </c>
      <c r="C168" s="2" t="s">
        <v>12</v>
      </c>
      <c r="D168" s="2" t="s">
        <v>23</v>
      </c>
      <c r="E168" s="4" t="s">
        <v>24</v>
      </c>
      <c r="F168" s="2" t="s">
        <v>25</v>
      </c>
      <c r="G168" s="2">
        <v>7.0</v>
      </c>
      <c r="H168" s="2">
        <v>22.58</v>
      </c>
      <c r="I168" s="2">
        <v>0.15</v>
      </c>
      <c r="J168" s="2">
        <v>134.33</v>
      </c>
      <c r="K168" s="2">
        <v>31.36</v>
      </c>
    </row>
    <row r="169" ht="15.75" customHeight="1">
      <c r="A169" s="2" t="s">
        <v>274</v>
      </c>
      <c r="B169" s="3">
        <v>46022.0</v>
      </c>
      <c r="C169" s="2" t="s">
        <v>142</v>
      </c>
      <c r="D169" s="2" t="s">
        <v>48</v>
      </c>
      <c r="E169" s="2" t="s">
        <v>14</v>
      </c>
      <c r="F169" s="2" t="s">
        <v>15</v>
      </c>
      <c r="G169" s="2">
        <v>4.0</v>
      </c>
      <c r="H169" s="2">
        <v>198.64</v>
      </c>
      <c r="I169" s="2">
        <v>0.1</v>
      </c>
      <c r="J169" s="2">
        <v>715.12</v>
      </c>
      <c r="K169" s="2">
        <v>150.69</v>
      </c>
    </row>
    <row r="170" ht="15.75" customHeight="1">
      <c r="A170" s="2" t="s">
        <v>275</v>
      </c>
      <c r="B170" s="3">
        <v>45786.0</v>
      </c>
      <c r="C170" s="2" t="s">
        <v>203</v>
      </c>
      <c r="D170" s="2" t="s">
        <v>19</v>
      </c>
      <c r="E170" s="2" t="s">
        <v>37</v>
      </c>
      <c r="F170" s="2" t="s">
        <v>25</v>
      </c>
      <c r="G170" s="2">
        <v>2.0</v>
      </c>
      <c r="H170" s="2">
        <v>34.86</v>
      </c>
      <c r="I170" s="2">
        <v>0.0</v>
      </c>
      <c r="J170" s="2">
        <v>69.71</v>
      </c>
      <c r="K170" s="2">
        <v>21.59</v>
      </c>
    </row>
    <row r="171" ht="15.75" customHeight="1">
      <c r="A171" s="2" t="s">
        <v>276</v>
      </c>
      <c r="B171" s="3">
        <v>45886.0</v>
      </c>
      <c r="C171" s="2" t="s">
        <v>70</v>
      </c>
      <c r="D171" s="2" t="s">
        <v>23</v>
      </c>
      <c r="E171" s="2" t="s">
        <v>56</v>
      </c>
      <c r="F171" s="2" t="s">
        <v>25</v>
      </c>
      <c r="G171" s="2">
        <v>8.0</v>
      </c>
      <c r="H171" s="2">
        <v>47.5</v>
      </c>
      <c r="I171" s="2">
        <v>0.0</v>
      </c>
      <c r="J171" s="2">
        <v>380.0</v>
      </c>
      <c r="K171" s="2">
        <v>82.15</v>
      </c>
    </row>
    <row r="172" ht="15.75" customHeight="1">
      <c r="A172" s="2" t="s">
        <v>277</v>
      </c>
      <c r="B172" s="3">
        <v>45962.0</v>
      </c>
      <c r="C172" s="2" t="s">
        <v>243</v>
      </c>
      <c r="D172" s="2" t="s">
        <v>48</v>
      </c>
      <c r="E172" s="2" t="s">
        <v>56</v>
      </c>
      <c r="F172" s="2" t="s">
        <v>25</v>
      </c>
      <c r="G172" s="2">
        <v>6.0</v>
      </c>
      <c r="H172" s="2">
        <v>44.2</v>
      </c>
      <c r="I172" s="2">
        <v>0.0</v>
      </c>
      <c r="J172" s="2">
        <v>265.2</v>
      </c>
      <c r="K172" s="2">
        <v>84.09</v>
      </c>
    </row>
    <row r="173" ht="15.75" customHeight="1">
      <c r="A173" s="2" t="s">
        <v>278</v>
      </c>
      <c r="B173" s="3">
        <v>45996.0</v>
      </c>
      <c r="C173" s="2" t="s">
        <v>185</v>
      </c>
      <c r="D173" s="2" t="s">
        <v>13</v>
      </c>
      <c r="E173" s="2" t="s">
        <v>37</v>
      </c>
      <c r="F173" s="2" t="s">
        <v>25</v>
      </c>
      <c r="G173" s="2">
        <v>7.0</v>
      </c>
      <c r="H173" s="2">
        <v>35.12</v>
      </c>
      <c r="I173" s="2">
        <v>0.0</v>
      </c>
      <c r="J173" s="2">
        <v>245.83</v>
      </c>
      <c r="K173" s="2">
        <v>46.31</v>
      </c>
    </row>
    <row r="174" ht="15.75" customHeight="1">
      <c r="A174" s="2" t="s">
        <v>279</v>
      </c>
      <c r="B174" s="3">
        <v>45682.0</v>
      </c>
      <c r="C174" s="2" t="s">
        <v>150</v>
      </c>
      <c r="D174" s="2" t="s">
        <v>19</v>
      </c>
      <c r="E174" s="2" t="s">
        <v>53</v>
      </c>
      <c r="F174" s="2" t="s">
        <v>25</v>
      </c>
      <c r="G174" s="2">
        <v>1.0</v>
      </c>
      <c r="H174" s="2">
        <v>56.4</v>
      </c>
      <c r="I174" s="2">
        <v>0.05</v>
      </c>
      <c r="J174" s="2">
        <v>53.58</v>
      </c>
      <c r="K174" s="2">
        <v>11.26</v>
      </c>
    </row>
    <row r="175" ht="15.75" customHeight="1">
      <c r="A175" s="2" t="s">
        <v>280</v>
      </c>
      <c r="B175" s="3">
        <v>45945.0</v>
      </c>
      <c r="C175" s="2" t="s">
        <v>137</v>
      </c>
      <c r="D175" s="2" t="s">
        <v>23</v>
      </c>
      <c r="E175" s="2" t="s">
        <v>39</v>
      </c>
      <c r="F175" s="2" t="s">
        <v>25</v>
      </c>
      <c r="G175" s="2">
        <v>7.0</v>
      </c>
      <c r="H175" s="2">
        <v>40.21</v>
      </c>
      <c r="I175" s="2">
        <v>0.0</v>
      </c>
      <c r="J175" s="2">
        <v>281.44</v>
      </c>
      <c r="K175" s="2">
        <v>69.24</v>
      </c>
    </row>
    <row r="176" ht="15.75" customHeight="1">
      <c r="A176" s="2" t="s">
        <v>281</v>
      </c>
      <c r="B176" s="3">
        <v>45927.0</v>
      </c>
      <c r="C176" s="2" t="s">
        <v>77</v>
      </c>
      <c r="D176" s="2" t="s">
        <v>19</v>
      </c>
      <c r="E176" s="2" t="s">
        <v>14</v>
      </c>
      <c r="F176" s="2" t="s">
        <v>15</v>
      </c>
      <c r="G176" s="2">
        <v>1.0</v>
      </c>
      <c r="H176" s="2">
        <v>199.27</v>
      </c>
      <c r="I176" s="2">
        <v>0.05</v>
      </c>
      <c r="J176" s="2">
        <v>189.3</v>
      </c>
      <c r="K176" s="2">
        <v>37.27</v>
      </c>
    </row>
    <row r="177" ht="15.75" customHeight="1">
      <c r="A177" s="2" t="s">
        <v>282</v>
      </c>
      <c r="B177" s="3">
        <v>45739.0</v>
      </c>
      <c r="C177" s="2" t="s">
        <v>94</v>
      </c>
      <c r="D177" s="2" t="s">
        <v>48</v>
      </c>
      <c r="E177" s="2" t="s">
        <v>14</v>
      </c>
      <c r="F177" s="2" t="s">
        <v>15</v>
      </c>
      <c r="G177" s="2">
        <v>1.0</v>
      </c>
      <c r="H177" s="2">
        <v>199.67</v>
      </c>
      <c r="I177" s="2">
        <v>0.0</v>
      </c>
      <c r="J177" s="2">
        <v>199.67</v>
      </c>
      <c r="K177" s="2">
        <v>59.03</v>
      </c>
    </row>
    <row r="178" ht="18.75" customHeight="1">
      <c r="A178" s="2" t="s">
        <v>283</v>
      </c>
      <c r="B178" s="3">
        <v>45671.0</v>
      </c>
      <c r="C178" s="2" t="s">
        <v>94</v>
      </c>
      <c r="D178" s="2" t="s">
        <v>23</v>
      </c>
      <c r="E178" s="2" t="s">
        <v>39</v>
      </c>
      <c r="F178" s="2" t="s">
        <v>25</v>
      </c>
      <c r="G178" s="2">
        <v>7.0</v>
      </c>
      <c r="H178" s="2">
        <v>38.72</v>
      </c>
      <c r="I178" s="2">
        <v>0.05</v>
      </c>
      <c r="J178" s="2">
        <v>257.49</v>
      </c>
      <c r="K178" s="2">
        <v>64.65</v>
      </c>
    </row>
    <row r="179" ht="20.2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A2:A998">
    <cfRule type="expression" dxfId="0" priority="1">
      <formula>COUNTIF($A$2:$A998,A2)&gt;1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 t="s">
        <v>4</v>
      </c>
      <c r="B1" s="20" t="s">
        <v>284</v>
      </c>
      <c r="C1" s="20" t="s">
        <v>10</v>
      </c>
      <c r="D1" s="20" t="s">
        <v>285</v>
      </c>
    </row>
    <row r="2">
      <c r="A2" s="4" t="s">
        <v>14</v>
      </c>
      <c r="B2" s="2">
        <f>'Pivot Table 1 Product'!B2</f>
        <v>21586.25</v>
      </c>
      <c r="C2" s="2">
        <f>'Pivot Table 4 Profit'!B2</f>
        <v>5452.34</v>
      </c>
      <c r="D2" s="8">
        <f t="shared" ref="D2:D9" si="1">C2/B2</f>
        <v>0.2525839365</v>
      </c>
    </row>
    <row r="3">
      <c r="A3" s="4" t="s">
        <v>287</v>
      </c>
      <c r="B3" s="2">
        <f>'Pivot Table 1 Product'!B3</f>
        <v>6450.39</v>
      </c>
      <c r="C3" s="2">
        <f>'Pivot Table 4 Profit'!B3</f>
        <v>1801.69</v>
      </c>
      <c r="D3" s="8">
        <f t="shared" si="1"/>
        <v>0.2793148941</v>
      </c>
    </row>
    <row r="4">
      <c r="A4" s="4" t="s">
        <v>56</v>
      </c>
      <c r="B4" s="2">
        <f>'Pivot Table 1 Product'!B4</f>
        <v>4809.84</v>
      </c>
      <c r="C4" s="2">
        <f>'Pivot Table 4 Profit'!B4</f>
        <v>1293.37</v>
      </c>
      <c r="D4" s="8">
        <f t="shared" si="1"/>
        <v>0.2689008366</v>
      </c>
    </row>
    <row r="5">
      <c r="A5" s="4" t="s">
        <v>37</v>
      </c>
      <c r="B5" s="2">
        <f>'Pivot Table 1 Product'!B5</f>
        <v>4405.39</v>
      </c>
      <c r="C5" s="2">
        <f>'Pivot Table 4 Profit'!B5</f>
        <v>1185.8</v>
      </c>
      <c r="D5" s="8">
        <f t="shared" si="1"/>
        <v>0.2691702664</v>
      </c>
    </row>
    <row r="6">
      <c r="A6" s="4" t="s">
        <v>72</v>
      </c>
      <c r="B6" s="2">
        <f>'Pivot Table 1 Product'!B6</f>
        <v>3838.98</v>
      </c>
      <c r="C6" s="2">
        <f>'Pivot Table 4 Profit'!B6</f>
        <v>1023.31</v>
      </c>
      <c r="D6" s="8">
        <f t="shared" si="1"/>
        <v>0.2665577836</v>
      </c>
    </row>
    <row r="7">
      <c r="A7" s="4" t="s">
        <v>39</v>
      </c>
      <c r="B7" s="2">
        <f>'Pivot Table 1 Product'!B7</f>
        <v>2995.33</v>
      </c>
      <c r="C7" s="2">
        <f>'Pivot Table 4 Profit'!B7</f>
        <v>875.48</v>
      </c>
      <c r="D7" s="8">
        <f t="shared" si="1"/>
        <v>0.2922816518</v>
      </c>
    </row>
    <row r="8">
      <c r="A8" s="4" t="s">
        <v>32</v>
      </c>
      <c r="B8" s="2">
        <f>'Pivot Table 1 Product'!B8</f>
        <v>2779.62</v>
      </c>
      <c r="C8" s="2">
        <f>'Pivot Table 4 Profit'!B8</f>
        <v>768.32</v>
      </c>
      <c r="D8" s="8">
        <f t="shared" si="1"/>
        <v>0.2764118836</v>
      </c>
    </row>
    <row r="9">
      <c r="A9" s="4" t="s">
        <v>24</v>
      </c>
      <c r="B9" s="2">
        <f>'Pivot Table 1 Product'!B9</f>
        <v>2571.58</v>
      </c>
      <c r="C9" s="2">
        <f>'Pivot Table 4 Profit'!B9</f>
        <v>719.19</v>
      </c>
      <c r="D9" s="8">
        <f t="shared" si="1"/>
        <v>0.2796685306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 t="s">
        <v>8</v>
      </c>
      <c r="B1" s="20" t="s">
        <v>286</v>
      </c>
      <c r="C1" s="20" t="s">
        <v>268</v>
      </c>
    </row>
    <row r="2">
      <c r="A2" s="21">
        <v>0.0</v>
      </c>
      <c r="B2" s="2">
        <f>SUMIF(Analysis!$I$2:$I$178,0,Analysis!$J$2:$J$178)</f>
        <v>17640.08</v>
      </c>
      <c r="C2" s="2">
        <f>SUMIF(Analysis!$I$2:$I$178,0,Analysis!$K$2:$K$178)</f>
        <v>4720.5</v>
      </c>
    </row>
    <row r="3">
      <c r="A3" s="21">
        <v>0.05</v>
      </c>
      <c r="B3" s="2">
        <f>SUMIF(Analysis!$I$2:$I$178,0.05,Analysis!$J$2:$J$178)</f>
        <v>11679.87</v>
      </c>
      <c r="C3" s="2">
        <f>SUMIF(Analysis!$I$2:$I$178,0.05,Analysis!$K$2:$K$178)</f>
        <v>3148.29</v>
      </c>
    </row>
    <row r="4">
      <c r="A4" s="21">
        <v>0.1</v>
      </c>
      <c r="B4" s="2">
        <f>SUMIF(Analysis!$I$2:$I$178,0.1,Analysis!$J$2:$J$178)</f>
        <v>12526.45</v>
      </c>
      <c r="C4" s="2">
        <f>SUMIF(Analysis!$I$2:$I$178,0.1,Analysis!$K$2:$K$178)</f>
        <v>3485.97</v>
      </c>
    </row>
    <row r="5">
      <c r="A5" s="21">
        <v>0.15</v>
      </c>
      <c r="B5" s="2">
        <f>SUMIF(Analysis!$I$2:$I$178,0.15,Analysis!$J$2:$J$178)</f>
        <v>7590.98</v>
      </c>
      <c r="C5" s="2">
        <f>SUMIF(Analysis!$I$2:$I$178,0.15,Analysis!$K$2:$K$178)</f>
        <v>1764.74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</sheetData>
  <drawing r:id="rId2"/>
</worksheet>
</file>